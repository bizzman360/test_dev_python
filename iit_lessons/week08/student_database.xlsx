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udents" sheetId="2" state="visible" r:id="rId4"/>
    <sheet name="AL_Results" sheetId="3" state="visible" r:id="rId5"/>
    <sheet name="Clubs_Activities" sheetId="4" state="visible" r:id="rId6"/>
    <sheet name="Sports" sheetId="5" state="visible" r:id="rId7"/>
    <sheet name="Awards" sheetId="6" state="visible" r:id="rId8"/>
    <sheet name="Data Diction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<sst xmlns="http://schemas.openxmlformats.org/spreadsheetml/2006/main" count="18938" uniqueCount="4062">
  <si>
    <t xml:space="preserve">Lanka Central College — Student Profile Database</t>
  </si>
  <si>
    <t xml:space="preserve">GCE A/L results, co-curricular activities, sports and awards | Sample synthetic dataset</t>
  </si>
  <si>
    <t xml:space="preserve">Key Metric</t>
  </si>
  <si>
    <t xml:space="preserve">Value</t>
  </si>
  <si>
    <t xml:space="preserve">Total Students</t>
  </si>
  <si>
    <t xml:space="preserve">Male Students</t>
  </si>
  <si>
    <t xml:space="preserve">Female Students</t>
  </si>
  <si>
    <t xml:space="preserve">Students Eligible for University Entrance (3 passes)</t>
  </si>
  <si>
    <t xml:space="preserve">Total Club/Society Memberships</t>
  </si>
  <si>
    <t xml:space="preserve">Total Sports Records</t>
  </si>
  <si>
    <t xml:space="preserve">Total Awards Given</t>
  </si>
  <si>
    <t xml:space="preserve">Average Z-Score (qualified students)</t>
  </si>
  <si>
    <t xml:space="preserve">Students by Stream</t>
  </si>
  <si>
    <t xml:space="preserve">Count</t>
  </si>
  <si>
    <t xml:space="preserve">Physical Science</t>
  </si>
  <si>
    <t xml:space="preserve">Biological Science</t>
  </si>
  <si>
    <t xml:space="preserve">Commerce</t>
  </si>
  <si>
    <t xml:space="preserve">Arts</t>
  </si>
  <si>
    <t xml:space="preserve">Technology</t>
  </si>
  <si>
    <t xml:space="preserve">Main Subject Grade Distribution (Subjects 1-3)</t>
  </si>
  <si>
    <t xml:space="preserve">A</t>
  </si>
  <si>
    <t xml:space="preserve">B</t>
  </si>
  <si>
    <t xml:space="preserve">C</t>
  </si>
  <si>
    <t xml:space="preserve">S</t>
  </si>
  <si>
    <t xml:space="preserve">F</t>
  </si>
  <si>
    <t xml:space="preserve">StudentID</t>
  </si>
  <si>
    <t xml:space="preserve">AdmissionNumber</t>
  </si>
  <si>
    <t xml:space="preserve">FullName</t>
  </si>
  <si>
    <t xml:space="preserve">Gender</t>
  </si>
  <si>
    <t xml:space="preserve">DateOfBirth</t>
  </si>
  <si>
    <t xml:space="preserve">Class</t>
  </si>
  <si>
    <t xml:space="preserve">Stream</t>
  </si>
  <si>
    <t xml:space="preserve">House</t>
  </si>
  <si>
    <t xml:space="preserve">AdmissionYear</t>
  </si>
  <si>
    <t xml:space="preserve">ALExamYear</t>
  </si>
  <si>
    <t xml:space="preserve">Address</t>
  </si>
  <si>
    <t xml:space="preserve">ContactNumber</t>
  </si>
  <si>
    <t xml:space="preserve">GuardianName</t>
  </si>
  <si>
    <t xml:space="preserve">GuardianContact</t>
  </si>
  <si>
    <t xml:space="preserve">Email</t>
  </si>
  <si>
    <t xml:space="preserve">Status</t>
  </si>
  <si>
    <t xml:space="preserve">STU0001</t>
  </si>
  <si>
    <t xml:space="preserve">2017/3771</t>
  </si>
  <si>
    <t xml:space="preserve">Nuwan Gamage</t>
  </si>
  <si>
    <t xml:space="preserve">Male</t>
  </si>
  <si>
    <t xml:space="preserve">13A</t>
  </si>
  <si>
    <t xml:space="preserve">Peacock House</t>
  </si>
  <si>
    <t xml:space="preserve">No. 56, Kotte Road, Kegalle</t>
  </si>
  <si>
    <t xml:space="preserve">0760838637</t>
  </si>
  <si>
    <t xml:space="preserve">Chamara Gamage</t>
  </si>
  <si>
    <t xml:space="preserve">0764026542</t>
  </si>
  <si>
    <t xml:space="preserve">nuwan.gamage1@studentmail.example.lk</t>
  </si>
  <si>
    <t xml:space="preserve">Graduated</t>
  </si>
  <si>
    <t xml:space="preserve">STU0002</t>
  </si>
  <si>
    <t xml:space="preserve">2018/2556</t>
  </si>
  <si>
    <t xml:space="preserve">Dilshan Karunaratne</t>
  </si>
  <si>
    <t xml:space="preserve">13C</t>
  </si>
  <si>
    <t xml:space="preserve">Lion House</t>
  </si>
  <si>
    <t xml:space="preserve">No. 172, Highlevel Road, Negombo</t>
  </si>
  <si>
    <t xml:space="preserve">0762832764</t>
  </si>
  <si>
    <t xml:space="preserve">Nethmi Karunaratne</t>
  </si>
  <si>
    <t xml:space="preserve">0778350305</t>
  </si>
  <si>
    <t xml:space="preserve">dilshan.karunaratne2@studentmail.example.lk</t>
  </si>
  <si>
    <t xml:space="preserve">STU0003</t>
  </si>
  <si>
    <t xml:space="preserve">2020/3087</t>
  </si>
  <si>
    <t xml:space="preserve">Fathima Rinosa Velauthapillai</t>
  </si>
  <si>
    <t xml:space="preserve">Female</t>
  </si>
  <si>
    <t xml:space="preserve">Eagle House</t>
  </si>
  <si>
    <t xml:space="preserve">No. 153, Kandy Road, Galle</t>
  </si>
  <si>
    <t xml:space="preserve">0759784801</t>
  </si>
  <si>
    <t xml:space="preserve">Pasindu Velauthapillai</t>
  </si>
  <si>
    <t xml:space="preserve">0778451462</t>
  </si>
  <si>
    <t xml:space="preserve">fathima.velauthapillai3@studentmail.example.lk</t>
  </si>
  <si>
    <t xml:space="preserve">Currently Enrolled</t>
  </si>
  <si>
    <t xml:space="preserve">STU0004</t>
  </si>
  <si>
    <t xml:space="preserve">2016/1525</t>
  </si>
  <si>
    <t xml:space="preserve">Akila Gunawardena</t>
  </si>
  <si>
    <t xml:space="preserve">13B</t>
  </si>
  <si>
    <t xml:space="preserve">Tiger House</t>
  </si>
  <si>
    <t xml:space="preserve">No. 247, Kotte Road, Kegalle</t>
  </si>
  <si>
    <t xml:space="preserve">0783465787</t>
  </si>
  <si>
    <t xml:space="preserve">Kalani Velauthapillai</t>
  </si>
  <si>
    <t xml:space="preserve">0713315098</t>
  </si>
  <si>
    <t xml:space="preserve">akila.gunawardena4@studentmail.example.lk</t>
  </si>
  <si>
    <t xml:space="preserve">STU0005</t>
  </si>
  <si>
    <t xml:space="preserve">2015/2912</t>
  </si>
  <si>
    <t xml:space="preserve">Thilini Wickramasinghe</t>
  </si>
  <si>
    <t xml:space="preserve">No. 87, Kandy Road, Gampaha</t>
  </si>
  <si>
    <t xml:space="preserve">0703872624</t>
  </si>
  <si>
    <t xml:space="preserve">Nipun Wickramasinghe</t>
  </si>
  <si>
    <t xml:space="preserve">0753178108</t>
  </si>
  <si>
    <t xml:space="preserve">thilini.wickramasinghe5@studentmail.example.lk</t>
  </si>
  <si>
    <t xml:space="preserve">STU0006</t>
  </si>
  <si>
    <t xml:space="preserve">2017/1634</t>
  </si>
  <si>
    <t xml:space="preserve">Yashodha Mohamed</t>
  </si>
  <si>
    <t xml:space="preserve">No. 16, Baseline Road, Colombo</t>
  </si>
  <si>
    <t xml:space="preserve">0719788208</t>
  </si>
  <si>
    <t xml:space="preserve">Janani Mohamed</t>
  </si>
  <si>
    <t xml:space="preserve">0712191361</t>
  </si>
  <si>
    <t xml:space="preserve">yashodha.mohamed6@studentmail.example.lk</t>
  </si>
  <si>
    <t xml:space="preserve">STU0007</t>
  </si>
  <si>
    <t xml:space="preserve">2016/1300</t>
  </si>
  <si>
    <t xml:space="preserve">Wathsala Pathirana</t>
  </si>
  <si>
    <t xml:space="preserve">No. 95, Highlevel Road, Kandy</t>
  </si>
  <si>
    <t xml:space="preserve">0758498084</t>
  </si>
  <si>
    <t xml:space="preserve">Sanduni Abeysekara</t>
  </si>
  <si>
    <t xml:space="preserve">0771241182</t>
  </si>
  <si>
    <t xml:space="preserve">wathsala.pathirana7@studentmail.example.lk</t>
  </si>
  <si>
    <t xml:space="preserve">STU0008</t>
  </si>
  <si>
    <t xml:space="preserve">2018/2262</t>
  </si>
  <si>
    <t xml:space="preserve">Suresh Fernando</t>
  </si>
  <si>
    <t xml:space="preserve">No. 171, Kandy Road, Kurunegala</t>
  </si>
  <si>
    <t xml:space="preserve">0788692322</t>
  </si>
  <si>
    <t xml:space="preserve">Senura Fernando</t>
  </si>
  <si>
    <t xml:space="preserve">0750256342</t>
  </si>
  <si>
    <t xml:space="preserve">suresh.fernando8@studentmail.example.lk</t>
  </si>
  <si>
    <t xml:space="preserve">STU0009</t>
  </si>
  <si>
    <t xml:space="preserve">2018/1731</t>
  </si>
  <si>
    <t xml:space="preserve">Vishaka Rizwan</t>
  </si>
  <si>
    <t xml:space="preserve">No. 89, Baseline Road, Galle</t>
  </si>
  <si>
    <t xml:space="preserve">0768169340</t>
  </si>
  <si>
    <t xml:space="preserve">Kavishka Rizwan</t>
  </si>
  <si>
    <t xml:space="preserve">0776088356</t>
  </si>
  <si>
    <t xml:space="preserve">vishaka.rizwan9@studentmail.example.lk</t>
  </si>
  <si>
    <t xml:space="preserve">STU0010</t>
  </si>
  <si>
    <t xml:space="preserve">2017/2904</t>
  </si>
  <si>
    <t xml:space="preserve">Rashmi Perera</t>
  </si>
  <si>
    <t xml:space="preserve">No. 73, Park Avenue, Ratnapura</t>
  </si>
  <si>
    <t xml:space="preserve">0721343320</t>
  </si>
  <si>
    <t xml:space="preserve">Sandun Perera</t>
  </si>
  <si>
    <t xml:space="preserve">0713791769</t>
  </si>
  <si>
    <t xml:space="preserve">rashmi.perera10@studentmail.example.lk</t>
  </si>
  <si>
    <t xml:space="preserve">STU0011</t>
  </si>
  <si>
    <t xml:space="preserve">2018/2843</t>
  </si>
  <si>
    <t xml:space="preserve">Risma Nawfar Rizwan</t>
  </si>
  <si>
    <t xml:space="preserve">No. 62, Highlevel Road, Matara</t>
  </si>
  <si>
    <t xml:space="preserve">0714345581</t>
  </si>
  <si>
    <t xml:space="preserve">0702362316</t>
  </si>
  <si>
    <t xml:space="preserve">risma.rizwan11@studentmail.example.lk</t>
  </si>
  <si>
    <t xml:space="preserve">STU0012</t>
  </si>
  <si>
    <t xml:space="preserve">2018/3966</t>
  </si>
  <si>
    <t xml:space="preserve">Priyanka Silva</t>
  </si>
  <si>
    <t xml:space="preserve">13D</t>
  </si>
  <si>
    <t xml:space="preserve">No. 233, Station Road, Ratnapura</t>
  </si>
  <si>
    <t xml:space="preserve">0760162720</t>
  </si>
  <si>
    <t xml:space="preserve">Vinodhini Silva</t>
  </si>
  <si>
    <t xml:space="preserve">0726537556</t>
  </si>
  <si>
    <t xml:space="preserve">priyanka.silva12@studentmail.example.lk</t>
  </si>
  <si>
    <t xml:space="preserve">STU0013</t>
  </si>
  <si>
    <t xml:space="preserve">2019/4141</t>
  </si>
  <si>
    <t xml:space="preserve">Vishwa Rajapaksa</t>
  </si>
  <si>
    <t xml:space="preserve">No. 238, Highlevel Road, Ratnapura</t>
  </si>
  <si>
    <t xml:space="preserve">0776631931</t>
  </si>
  <si>
    <t xml:space="preserve">Mohamed Fazil Rajapaksa</t>
  </si>
  <si>
    <t xml:space="preserve">0774919058</t>
  </si>
  <si>
    <t xml:space="preserve">vishwa.rajapaksa13@studentmail.example.lk</t>
  </si>
  <si>
    <t xml:space="preserve">STU0014</t>
  </si>
  <si>
    <t xml:space="preserve">2015/3334</t>
  </si>
  <si>
    <t xml:space="preserve">Geethma Abeysekara</t>
  </si>
  <si>
    <t xml:space="preserve">No. 84, Negombo Road, Matara</t>
  </si>
  <si>
    <t xml:space="preserve">0705454948</t>
  </si>
  <si>
    <t xml:space="preserve">Tharindu Abeysekara</t>
  </si>
  <si>
    <t xml:space="preserve">0718313678</t>
  </si>
  <si>
    <t xml:space="preserve">geethma.abeysekara14@studentmail.example.lk</t>
  </si>
  <si>
    <t xml:space="preserve">STU0015</t>
  </si>
  <si>
    <t xml:space="preserve">2018/2292</t>
  </si>
  <si>
    <t xml:space="preserve">Dinithi Weerasinghe</t>
  </si>
  <si>
    <t xml:space="preserve">No. 71, Lake Drive, Kegalle</t>
  </si>
  <si>
    <t xml:space="preserve">0764134352</t>
  </si>
  <si>
    <t xml:space="preserve">Thisara Weerasinghe</t>
  </si>
  <si>
    <t xml:space="preserve">0720824008</t>
  </si>
  <si>
    <t xml:space="preserve">dinithi.weerasinghe15@studentmail.example.lk</t>
  </si>
  <si>
    <t xml:space="preserve">STU0016</t>
  </si>
  <si>
    <t xml:space="preserve">2018/2641</t>
  </si>
  <si>
    <t xml:space="preserve">Pavithra Jayasinghe</t>
  </si>
  <si>
    <t xml:space="preserve">No. 243, Highlevel Road, Negombo</t>
  </si>
  <si>
    <t xml:space="preserve">0701869993</t>
  </si>
  <si>
    <t xml:space="preserve">Pasindu Jayasinghe</t>
  </si>
  <si>
    <t xml:space="preserve">0788677496</t>
  </si>
  <si>
    <t xml:space="preserve">pavithra.jayasinghe16@studentmail.example.lk</t>
  </si>
  <si>
    <t xml:space="preserve">STU0017</t>
  </si>
  <si>
    <t xml:space="preserve">2018/4784</t>
  </si>
  <si>
    <t xml:space="preserve">Bhanuka Rathnayake</t>
  </si>
  <si>
    <t xml:space="preserve">No. 166, Negombo Road, Kalutara</t>
  </si>
  <si>
    <t xml:space="preserve">0782102499</t>
  </si>
  <si>
    <t xml:space="preserve">0727174648</t>
  </si>
  <si>
    <t xml:space="preserve">bhanuka.rathnayake17@studentmail.example.lk</t>
  </si>
  <si>
    <t xml:space="preserve">STU0018</t>
  </si>
  <si>
    <t xml:space="preserve">2018/3600</t>
  </si>
  <si>
    <t xml:space="preserve">Vishwa Careem</t>
  </si>
  <si>
    <t xml:space="preserve">No. 83, Kandy Road, Kandy</t>
  </si>
  <si>
    <t xml:space="preserve">0726746807</t>
  </si>
  <si>
    <t xml:space="preserve">Sanduni Careem</t>
  </si>
  <si>
    <t xml:space="preserve">0715451680</t>
  </si>
  <si>
    <t xml:space="preserve">vishwa.careem18@studentmail.example.lk</t>
  </si>
  <si>
    <t xml:space="preserve">STU0019</t>
  </si>
  <si>
    <t xml:space="preserve">2016/3653</t>
  </si>
  <si>
    <t xml:space="preserve">Aravinth Thillainathan</t>
  </si>
  <si>
    <t xml:space="preserve">No. 107, Temple Lane, Matara</t>
  </si>
  <si>
    <t xml:space="preserve">0707826398</t>
  </si>
  <si>
    <t xml:space="preserve">Ranjini Thillainathan</t>
  </si>
  <si>
    <t xml:space="preserve">0772146584</t>
  </si>
  <si>
    <t xml:space="preserve">aravinth.thillainathan19@studentmail.example.lk</t>
  </si>
  <si>
    <t xml:space="preserve">STU0020</t>
  </si>
  <si>
    <t xml:space="preserve">2019/1178</t>
  </si>
  <si>
    <t xml:space="preserve">Thilini Abeysekara</t>
  </si>
  <si>
    <t xml:space="preserve">No. 247, Galle Road, Kandy</t>
  </si>
  <si>
    <t xml:space="preserve">0769517187</t>
  </si>
  <si>
    <t xml:space="preserve">Ishara Dissanayake</t>
  </si>
  <si>
    <t xml:space="preserve">0712621745</t>
  </si>
  <si>
    <t xml:space="preserve">thilini.abeysekara20@studentmail.example.lk</t>
  </si>
  <si>
    <t xml:space="preserve">STU0021</t>
  </si>
  <si>
    <t xml:space="preserve">2018/3318</t>
  </si>
  <si>
    <t xml:space="preserve">Vishaka Kandasamy</t>
  </si>
  <si>
    <t xml:space="preserve">No. 223, Station Road, Ratnapura</t>
  </si>
  <si>
    <t xml:space="preserve">0773792374</t>
  </si>
  <si>
    <t xml:space="preserve">Hashan Kandasamy</t>
  </si>
  <si>
    <t xml:space="preserve">0754074821</t>
  </si>
  <si>
    <t xml:space="preserve">vishaka.kandasamy21@studentmail.example.lk</t>
  </si>
  <si>
    <t xml:space="preserve">STU0022</t>
  </si>
  <si>
    <t xml:space="preserve">2020/3486</t>
  </si>
  <si>
    <t xml:space="preserve">Vinoth Jayasinghe</t>
  </si>
  <si>
    <t xml:space="preserve">No. 161, Kandy Road, Colombo</t>
  </si>
  <si>
    <t xml:space="preserve">0727095214</t>
  </si>
  <si>
    <t xml:space="preserve">Vinodhini Jayasinghe</t>
  </si>
  <si>
    <t xml:space="preserve">0726232858</t>
  </si>
  <si>
    <t xml:space="preserve">vinoth.jayasinghe22@studentmail.example.lk</t>
  </si>
  <si>
    <t xml:space="preserve">STU0023</t>
  </si>
  <si>
    <t xml:space="preserve">2019/3394</t>
  </si>
  <si>
    <t xml:space="preserve">Sanduni Hettiarachchi</t>
  </si>
  <si>
    <t xml:space="preserve">No. 235, Lake Drive, Gampaha</t>
  </si>
  <si>
    <t xml:space="preserve">0771746120</t>
  </si>
  <si>
    <t xml:space="preserve">Gayan Hettiarachchi</t>
  </si>
  <si>
    <t xml:space="preserve">0714711382</t>
  </si>
  <si>
    <t xml:space="preserve">sanduni.hettiarachchi23@studentmail.example.lk</t>
  </si>
  <si>
    <t xml:space="preserve">STU0024</t>
  </si>
  <si>
    <t xml:space="preserve">2017/1248</t>
  </si>
  <si>
    <t xml:space="preserve">Niluka Abeysekara</t>
  </si>
  <si>
    <t xml:space="preserve">No. 55, Lake Drive, Colombo</t>
  </si>
  <si>
    <t xml:space="preserve">0715329318</t>
  </si>
  <si>
    <t xml:space="preserve">Senuri Abeysekara</t>
  </si>
  <si>
    <t xml:space="preserve">0709335290</t>
  </si>
  <si>
    <t xml:space="preserve">niluka.abeysekara24@studentmail.example.lk</t>
  </si>
  <si>
    <t xml:space="preserve">STU0025</t>
  </si>
  <si>
    <t xml:space="preserve">2015/3102</t>
  </si>
  <si>
    <t xml:space="preserve">Senura Careem</t>
  </si>
  <si>
    <t xml:space="preserve">No. 201, Park Avenue, Kalutara</t>
  </si>
  <si>
    <t xml:space="preserve">0750076617</t>
  </si>
  <si>
    <t xml:space="preserve">Tharaki Careem</t>
  </si>
  <si>
    <t xml:space="preserve">0777115921</t>
  </si>
  <si>
    <t xml:space="preserve">senura.careem25@studentmail.example.lk</t>
  </si>
  <si>
    <t xml:space="preserve">STU0026</t>
  </si>
  <si>
    <t xml:space="preserve">2018/2748</t>
  </si>
  <si>
    <t xml:space="preserve">Ranjini Mohamed</t>
  </si>
  <si>
    <t xml:space="preserve">No. 122, Kandy Road, Negombo</t>
  </si>
  <si>
    <t xml:space="preserve">0781161528</t>
  </si>
  <si>
    <t xml:space="preserve">Pasindu Mohamed</t>
  </si>
  <si>
    <t xml:space="preserve">0719885165</t>
  </si>
  <si>
    <t xml:space="preserve">ranjini.mohamed26@studentmail.example.lk</t>
  </si>
  <si>
    <t xml:space="preserve">STU0027</t>
  </si>
  <si>
    <t xml:space="preserve">2015/4461</t>
  </si>
  <si>
    <t xml:space="preserve">No. 180, Highlevel Road, Kurunegala</t>
  </si>
  <si>
    <t xml:space="preserve">0720229612</t>
  </si>
  <si>
    <t xml:space="preserve">Tharindu Kandasamy</t>
  </si>
  <si>
    <t xml:space="preserve">0770183667</t>
  </si>
  <si>
    <t xml:space="preserve">hashan.kandasamy27@studentmail.example.lk</t>
  </si>
  <si>
    <t xml:space="preserve">STU0028</t>
  </si>
  <si>
    <t xml:space="preserve">2019/2413</t>
  </si>
  <si>
    <t xml:space="preserve">Priyanka Rajendran</t>
  </si>
  <si>
    <t xml:space="preserve">No. 12, Kotte Road, Galle</t>
  </si>
  <si>
    <t xml:space="preserve">0760034324</t>
  </si>
  <si>
    <t xml:space="preserve">Kalani Rajendran</t>
  </si>
  <si>
    <t xml:space="preserve">0725107622</t>
  </si>
  <si>
    <t xml:space="preserve">priyanka.rajendran28@studentmail.example.lk</t>
  </si>
  <si>
    <t xml:space="preserve">STU0029</t>
  </si>
  <si>
    <t xml:space="preserve">2018/1996</t>
  </si>
  <si>
    <t xml:space="preserve">Nadeesha Mohamed</t>
  </si>
  <si>
    <t xml:space="preserve">No. 57, Baseline Road, Kandy</t>
  </si>
  <si>
    <t xml:space="preserve">0718188355</t>
  </si>
  <si>
    <t xml:space="preserve">Tharushi Madushanka</t>
  </si>
  <si>
    <t xml:space="preserve">0772312432</t>
  </si>
  <si>
    <t xml:space="preserve">nadeesha.mohamed29@studentmail.example.lk</t>
  </si>
  <si>
    <t xml:space="preserve">STU0030</t>
  </si>
  <si>
    <t xml:space="preserve">2018/1314</t>
  </si>
  <si>
    <t xml:space="preserve">No. 245, Galle Road, Matara</t>
  </si>
  <si>
    <t xml:space="preserve">0789359782</t>
  </si>
  <si>
    <t xml:space="preserve">Imesha Mohamed</t>
  </si>
  <si>
    <t xml:space="preserve">0717151820</t>
  </si>
  <si>
    <t xml:space="preserve">pasindu.mohamed30@studentmail.example.lk</t>
  </si>
  <si>
    <t xml:space="preserve">STU0031</t>
  </si>
  <si>
    <t xml:space="preserve">2017/1528</t>
  </si>
  <si>
    <t xml:space="preserve">No. 203, Baseline Road, Kandy</t>
  </si>
  <si>
    <t xml:space="preserve">0778168505</t>
  </si>
  <si>
    <t xml:space="preserve">Amaya Dissanayake</t>
  </si>
  <si>
    <t xml:space="preserve">0722357332</t>
  </si>
  <si>
    <t xml:space="preserve">ishara.dissanayake31@studentmail.example.lk</t>
  </si>
  <si>
    <t xml:space="preserve">STU0032</t>
  </si>
  <si>
    <t xml:space="preserve">2018/4955</t>
  </si>
  <si>
    <t xml:space="preserve">Risma Nawfar Rathnayake</t>
  </si>
  <si>
    <t xml:space="preserve">No. 147, Temple Lane, Matara</t>
  </si>
  <si>
    <t xml:space="preserve">0784688623</t>
  </si>
  <si>
    <t xml:space="preserve">Nethmi Rathnayake</t>
  </si>
  <si>
    <t xml:space="preserve">0789240758</t>
  </si>
  <si>
    <t xml:space="preserve">risma.rathnayake32@studentmail.example.lk</t>
  </si>
  <si>
    <t xml:space="preserve">STU0033</t>
  </si>
  <si>
    <t xml:space="preserve">2016/4241</t>
  </si>
  <si>
    <t xml:space="preserve">Ishara Kandasamy</t>
  </si>
  <si>
    <t xml:space="preserve">No. 36, Temple Lane, Matara</t>
  </si>
  <si>
    <t xml:space="preserve">0760104328</t>
  </si>
  <si>
    <t xml:space="preserve">Yashodha Kandasamy</t>
  </si>
  <si>
    <t xml:space="preserve">0779861434</t>
  </si>
  <si>
    <t xml:space="preserve">ishara.kandasamy33@studentmail.example.lk</t>
  </si>
  <si>
    <t xml:space="preserve">STU0034</t>
  </si>
  <si>
    <t xml:space="preserve">2020/2599</t>
  </si>
  <si>
    <t xml:space="preserve">Pavithra Gunawardena</t>
  </si>
  <si>
    <t xml:space="preserve">No. 92, Kandy Road, Kurunegala</t>
  </si>
  <si>
    <t xml:space="preserve">0701952058</t>
  </si>
  <si>
    <t xml:space="preserve">Nethmi Gunawardena</t>
  </si>
  <si>
    <t xml:space="preserve">0722772217</t>
  </si>
  <si>
    <t xml:space="preserve">pavithra.gunawardena34@studentmail.example.lk</t>
  </si>
  <si>
    <t xml:space="preserve">STU0035</t>
  </si>
  <si>
    <t xml:space="preserve">2018/2504</t>
  </si>
  <si>
    <t xml:space="preserve">Rashmi Rajendran</t>
  </si>
  <si>
    <t xml:space="preserve">No. 155, Negombo Road, Kegalle</t>
  </si>
  <si>
    <t xml:space="preserve">0725115447</t>
  </si>
  <si>
    <t xml:space="preserve">Nadeesha Rajendran</t>
  </si>
  <si>
    <t xml:space="preserve">0766275705</t>
  </si>
  <si>
    <t xml:space="preserve">rashmi.rajendran35@studentmail.example.lk</t>
  </si>
  <si>
    <t xml:space="preserve">STU0036</t>
  </si>
  <si>
    <t xml:space="preserve">2019/2523</t>
  </si>
  <si>
    <t xml:space="preserve">Kalpana Fernando</t>
  </si>
  <si>
    <t xml:space="preserve">No. 167, Highlevel Road, Gampaha</t>
  </si>
  <si>
    <t xml:space="preserve">0710278681</t>
  </si>
  <si>
    <t xml:space="preserve">Kalani Fernando</t>
  </si>
  <si>
    <t xml:space="preserve">0724739473</t>
  </si>
  <si>
    <t xml:space="preserve">kalpana.fernando36@studentmail.example.lk</t>
  </si>
  <si>
    <t xml:space="preserve">STU0037</t>
  </si>
  <si>
    <t xml:space="preserve">2016/2914</t>
  </si>
  <si>
    <t xml:space="preserve">Sachin Mendis</t>
  </si>
  <si>
    <t xml:space="preserve">No. 184, Temple Lane, Kegalle</t>
  </si>
  <si>
    <t xml:space="preserve">0756912517</t>
  </si>
  <si>
    <t xml:space="preserve">Janith Mendis</t>
  </si>
  <si>
    <t xml:space="preserve">0758528922</t>
  </si>
  <si>
    <t xml:space="preserve">sachin.mendis37@studentmail.example.lk</t>
  </si>
  <si>
    <t xml:space="preserve">STU0038</t>
  </si>
  <si>
    <t xml:space="preserve">2019/4451</t>
  </si>
  <si>
    <t xml:space="preserve">Lakshan Kumara</t>
  </si>
  <si>
    <t xml:space="preserve">No. 167, Kotte Road, Ratnapura</t>
  </si>
  <si>
    <t xml:space="preserve">0759078447</t>
  </si>
  <si>
    <t xml:space="preserve">Ashen Kumara</t>
  </si>
  <si>
    <t xml:space="preserve">0706471027</t>
  </si>
  <si>
    <t xml:space="preserve">lakshan.kumara38@studentmail.example.lk</t>
  </si>
  <si>
    <t xml:space="preserve">STU0039</t>
  </si>
  <si>
    <t xml:space="preserve">2016/1777</t>
  </si>
  <si>
    <t xml:space="preserve">Manori Thillainathan</t>
  </si>
  <si>
    <t xml:space="preserve">No. 6, Kandy Road, Galle</t>
  </si>
  <si>
    <t xml:space="preserve">0767339500</t>
  </si>
  <si>
    <t xml:space="preserve">Oshadi Naufer</t>
  </si>
  <si>
    <t xml:space="preserve">0727974801</t>
  </si>
  <si>
    <t xml:space="preserve">manori.thillainathan39@studentmail.example.lk</t>
  </si>
  <si>
    <t xml:space="preserve">STU0040</t>
  </si>
  <si>
    <t xml:space="preserve">2016/3048</t>
  </si>
  <si>
    <t xml:space="preserve">Vinodhini Kandasamy</t>
  </si>
  <si>
    <t xml:space="preserve">No. 133, Temple Lane, Kandy</t>
  </si>
  <si>
    <t xml:space="preserve">0768259526</t>
  </si>
  <si>
    <t xml:space="preserve">Imran Naufer Kandasamy</t>
  </si>
  <si>
    <t xml:space="preserve">0764958887</t>
  </si>
  <si>
    <t xml:space="preserve">vinodhini.kandasamy40@studentmail.example.lk</t>
  </si>
  <si>
    <t xml:space="preserve">STU0041</t>
  </si>
  <si>
    <t xml:space="preserve">2016/1620</t>
  </si>
  <si>
    <t xml:space="preserve">Vinoth Rajapaksa</t>
  </si>
  <si>
    <t xml:space="preserve">No. 236, Temple Lane, Colombo</t>
  </si>
  <si>
    <t xml:space="preserve">0772838578</t>
  </si>
  <si>
    <t xml:space="preserve">Geethma Rajapaksa</t>
  </si>
  <si>
    <t xml:space="preserve">0755278585</t>
  </si>
  <si>
    <t xml:space="preserve">vinoth.rajapaksa41@studentmail.example.lk</t>
  </si>
  <si>
    <t xml:space="preserve">STU0042</t>
  </si>
  <si>
    <t xml:space="preserve">2019/4910</t>
  </si>
  <si>
    <t xml:space="preserve">Vidushi Rajapaksa</t>
  </si>
  <si>
    <t xml:space="preserve">No. 89, Temple Lane, Kalutara</t>
  </si>
  <si>
    <t xml:space="preserve">0777338484</t>
  </si>
  <si>
    <t xml:space="preserve">Lahiru Rajapaksa</t>
  </si>
  <si>
    <t xml:space="preserve">0701993308</t>
  </si>
  <si>
    <t xml:space="preserve">vidushi.rajapaksa42@studentmail.example.lk</t>
  </si>
  <si>
    <t xml:space="preserve">STU0043</t>
  </si>
  <si>
    <t xml:space="preserve">2020/4825</t>
  </si>
  <si>
    <t xml:space="preserve">Lahiru Karunaratne</t>
  </si>
  <si>
    <t xml:space="preserve">No. 3, Highlevel Road, Ratnapura</t>
  </si>
  <si>
    <t xml:space="preserve">0761547887</t>
  </si>
  <si>
    <t xml:space="preserve">Damith Rathnayake</t>
  </si>
  <si>
    <t xml:space="preserve">0708743152</t>
  </si>
  <si>
    <t xml:space="preserve">lahiru.karunaratne43@studentmail.example.lk</t>
  </si>
  <si>
    <t xml:space="preserve">STU0044</t>
  </si>
  <si>
    <t xml:space="preserve">2018/4907</t>
  </si>
  <si>
    <t xml:space="preserve">Kasun Hettiarachchi</t>
  </si>
  <si>
    <t xml:space="preserve">No. 61, Galle Road, Negombo</t>
  </si>
  <si>
    <t xml:space="preserve">0754268414</t>
  </si>
  <si>
    <t xml:space="preserve">Risma Nawfar Hettiarachchi</t>
  </si>
  <si>
    <t xml:space="preserve">0729332727</t>
  </si>
  <si>
    <t xml:space="preserve">kasun.hettiarachchi44@studentmail.example.lk</t>
  </si>
  <si>
    <t xml:space="preserve">STU0045</t>
  </si>
  <si>
    <t xml:space="preserve">2020/3936</t>
  </si>
  <si>
    <t xml:space="preserve">Ashen Pathirana</t>
  </si>
  <si>
    <t xml:space="preserve">No. 117, Lake Drive, Colombo</t>
  </si>
  <si>
    <t xml:space="preserve">0767406403</t>
  </si>
  <si>
    <t xml:space="preserve">Nipun Pathirana</t>
  </si>
  <si>
    <t xml:space="preserve">0761065180</t>
  </si>
  <si>
    <t xml:space="preserve">ashen.pathirana45@studentmail.example.lk</t>
  </si>
  <si>
    <t xml:space="preserve">STU0046</t>
  </si>
  <si>
    <t xml:space="preserve">2020/4419</t>
  </si>
  <si>
    <t xml:space="preserve">Madushani Ranasinghe</t>
  </si>
  <si>
    <t xml:space="preserve">No. 137, Station Road, Gampaha</t>
  </si>
  <si>
    <t xml:space="preserve">0707524310</t>
  </si>
  <si>
    <t xml:space="preserve">Imesha Ranasinghe</t>
  </si>
  <si>
    <t xml:space="preserve">0786903311</t>
  </si>
  <si>
    <t xml:space="preserve">madushani.ranasinghe46@studentmail.example.lk</t>
  </si>
  <si>
    <t xml:space="preserve">STU0047</t>
  </si>
  <si>
    <t xml:space="preserve">2018/3564</t>
  </si>
  <si>
    <t xml:space="preserve">Senura Weerasinghe</t>
  </si>
  <si>
    <t xml:space="preserve">No. 202, Park Avenue, Kurunegala</t>
  </si>
  <si>
    <t xml:space="preserve">0776624628</t>
  </si>
  <si>
    <t xml:space="preserve">Sanduni Sivakumar</t>
  </si>
  <si>
    <t xml:space="preserve">0753342708</t>
  </si>
  <si>
    <t xml:space="preserve">senura.weerasinghe47@studentmail.example.lk</t>
  </si>
  <si>
    <t xml:space="preserve">STU0048</t>
  </si>
  <si>
    <t xml:space="preserve">2016/2963</t>
  </si>
  <si>
    <t xml:space="preserve">Aysha Nimna Fernando</t>
  </si>
  <si>
    <t xml:space="preserve">No. 49, Kandy Road, Matara</t>
  </si>
  <si>
    <t xml:space="preserve">0709363854</t>
  </si>
  <si>
    <t xml:space="preserve">Nuwan Fernando</t>
  </si>
  <si>
    <t xml:space="preserve">0757854458</t>
  </si>
  <si>
    <t xml:space="preserve">aysha.fernando48@studentmail.example.lk</t>
  </si>
  <si>
    <t xml:space="preserve">STU0049</t>
  </si>
  <si>
    <t xml:space="preserve">2018/4958</t>
  </si>
  <si>
    <t xml:space="preserve">Isuru Abeysekara</t>
  </si>
  <si>
    <t xml:space="preserve">No. 91, Negombo Road, Kandy</t>
  </si>
  <si>
    <t xml:space="preserve">0778728080</t>
  </si>
  <si>
    <t xml:space="preserve">Sandun Abeysekara</t>
  </si>
  <si>
    <t xml:space="preserve">0781006231</t>
  </si>
  <si>
    <t xml:space="preserve">isuru.abeysekara49@studentmail.example.lk</t>
  </si>
  <si>
    <t xml:space="preserve">STU0050</t>
  </si>
  <si>
    <t xml:space="preserve">2019/1323</t>
  </si>
  <si>
    <t xml:space="preserve">Akila Senanayake</t>
  </si>
  <si>
    <t xml:space="preserve">No. 77, Kandy Road, Colombo</t>
  </si>
  <si>
    <t xml:space="preserve">0716668700</t>
  </si>
  <si>
    <t xml:space="preserve">Niluka Senanayake</t>
  </si>
  <si>
    <t xml:space="preserve">0772176591</t>
  </si>
  <si>
    <t xml:space="preserve">akila.senanayake50@studentmail.example.lk</t>
  </si>
  <si>
    <t xml:space="preserve">STU0051</t>
  </si>
  <si>
    <t xml:space="preserve">2016/3773</t>
  </si>
  <si>
    <t xml:space="preserve">Chathurika Weerasinghe</t>
  </si>
  <si>
    <t xml:space="preserve">No. 177, Kandy Road, Kegalle</t>
  </si>
  <si>
    <t xml:space="preserve">0775016315</t>
  </si>
  <si>
    <t xml:space="preserve">Ridmal Weerasinghe</t>
  </si>
  <si>
    <t xml:space="preserve">0769965047</t>
  </si>
  <si>
    <t xml:space="preserve">chathurika.weerasinghe51@studentmail.example.lk</t>
  </si>
  <si>
    <t xml:space="preserve">STU0052</t>
  </si>
  <si>
    <t xml:space="preserve">2017/1418</t>
  </si>
  <si>
    <t xml:space="preserve">Lahiru Perera</t>
  </si>
  <si>
    <t xml:space="preserve">No. 132, Station Road, Negombo</t>
  </si>
  <si>
    <t xml:space="preserve">0711581995</t>
  </si>
  <si>
    <t xml:space="preserve">Anjali Perera</t>
  </si>
  <si>
    <t xml:space="preserve">0786046618</t>
  </si>
  <si>
    <t xml:space="preserve">lahiru.perera52@studentmail.example.lk</t>
  </si>
  <si>
    <t xml:space="preserve">STU0053</t>
  </si>
  <si>
    <t xml:space="preserve">2018/2479</t>
  </si>
  <si>
    <t xml:space="preserve">Ashen Velauthapillai</t>
  </si>
  <si>
    <t xml:space="preserve">No. 118, Kandy Road, Kandy</t>
  </si>
  <si>
    <t xml:space="preserve">0720659657</t>
  </si>
  <si>
    <t xml:space="preserve">Kushani Velauthapillai</t>
  </si>
  <si>
    <t xml:space="preserve">0726924593</t>
  </si>
  <si>
    <t xml:space="preserve">ashen.velauthapillai53@studentmail.example.lk</t>
  </si>
  <si>
    <t xml:space="preserve">STU0054</t>
  </si>
  <si>
    <t xml:space="preserve">2016/3449</t>
  </si>
  <si>
    <t xml:space="preserve">Imesha Hettiarachchi</t>
  </si>
  <si>
    <t xml:space="preserve">No. 248, Baseline Road, Kegalle</t>
  </si>
  <si>
    <t xml:space="preserve">0761135290</t>
  </si>
  <si>
    <t xml:space="preserve">Rashmi Hettiarachchi</t>
  </si>
  <si>
    <t xml:space="preserve">0766561014</t>
  </si>
  <si>
    <t xml:space="preserve">imesha.hettiarachchi54@studentmail.example.lk</t>
  </si>
  <si>
    <t xml:space="preserve">STU0055</t>
  </si>
  <si>
    <t xml:space="preserve">2020/2794</t>
  </si>
  <si>
    <t xml:space="preserve">Wathsala Wijesinghe</t>
  </si>
  <si>
    <t xml:space="preserve">No. 6, Baseline Road, Negombo</t>
  </si>
  <si>
    <t xml:space="preserve">0772382825</t>
  </si>
  <si>
    <t xml:space="preserve">Janith Wijesinghe</t>
  </si>
  <si>
    <t xml:space="preserve">0766736226</t>
  </si>
  <si>
    <t xml:space="preserve">wathsala.wijesinghe55@studentmail.example.lk</t>
  </si>
  <si>
    <t xml:space="preserve">STU0056</t>
  </si>
  <si>
    <t xml:space="preserve">2018/3404</t>
  </si>
  <si>
    <t xml:space="preserve">Madushani Hettiarachchi</t>
  </si>
  <si>
    <t xml:space="preserve">No. 173, Highlevel Road, Ratnapura</t>
  </si>
  <si>
    <t xml:space="preserve">0761251341</t>
  </si>
  <si>
    <t xml:space="preserve">Vinodhini Hettiarachchi</t>
  </si>
  <si>
    <t xml:space="preserve">0705286692</t>
  </si>
  <si>
    <t xml:space="preserve">madushani.hettiarachchi56@studentmail.example.lk</t>
  </si>
  <si>
    <t xml:space="preserve">STU0057</t>
  </si>
  <si>
    <t xml:space="preserve">2018/2702</t>
  </si>
  <si>
    <t xml:space="preserve">Kavindi Senanayake</t>
  </si>
  <si>
    <t xml:space="preserve">No. 8, Kotte Road, Kalutara</t>
  </si>
  <si>
    <t xml:space="preserve">0714384279</t>
  </si>
  <si>
    <t xml:space="preserve">Sandun Senanayake</t>
  </si>
  <si>
    <t xml:space="preserve">0777881914</t>
  </si>
  <si>
    <t xml:space="preserve">kavindi.senanayake57@studentmail.example.lk</t>
  </si>
  <si>
    <t xml:space="preserve">STU0058</t>
  </si>
  <si>
    <t xml:space="preserve">2016/3180</t>
  </si>
  <si>
    <t xml:space="preserve">Nadeesha Mendis</t>
  </si>
  <si>
    <t xml:space="preserve">No. 69, Park Avenue, Negombo</t>
  </si>
  <si>
    <t xml:space="preserve">0706042232</t>
  </si>
  <si>
    <t xml:space="preserve">Kuganesan Mendis</t>
  </si>
  <si>
    <t xml:space="preserve">0775367294</t>
  </si>
  <si>
    <t xml:space="preserve">nadeesha.mendis58@studentmail.example.lk</t>
  </si>
  <si>
    <t xml:space="preserve">STU0059</t>
  </si>
  <si>
    <t xml:space="preserve">Sithum Gamage</t>
  </si>
  <si>
    <t xml:space="preserve">No. 201, Temple Lane, Colombo</t>
  </si>
  <si>
    <t xml:space="preserve">0712770632</t>
  </si>
  <si>
    <t xml:space="preserve">Lahiru Gamage</t>
  </si>
  <si>
    <t xml:space="preserve">0774241541</t>
  </si>
  <si>
    <t xml:space="preserve">sithum.gamage59@studentmail.example.lk</t>
  </si>
  <si>
    <t xml:space="preserve">STU0060</t>
  </si>
  <si>
    <t xml:space="preserve">2016/1365</t>
  </si>
  <si>
    <t xml:space="preserve">Madushani Velauthapillai</t>
  </si>
  <si>
    <t xml:space="preserve">No. 77, Negombo Road, Galle</t>
  </si>
  <si>
    <t xml:space="preserve">0782218909</t>
  </si>
  <si>
    <t xml:space="preserve">Mohamed Riza Velauthapillai</t>
  </si>
  <si>
    <t xml:space="preserve">0772753269</t>
  </si>
  <si>
    <t xml:space="preserve">madushani.velauthapillai60@studentmail.example.lk</t>
  </si>
  <si>
    <t xml:space="preserve">STU0061</t>
  </si>
  <si>
    <t xml:space="preserve">2016/3646</t>
  </si>
  <si>
    <t xml:space="preserve">Imran Naufer Weerasinghe</t>
  </si>
  <si>
    <t xml:space="preserve">No. 128, Lake Drive, Negombo</t>
  </si>
  <si>
    <t xml:space="preserve">0760552696</t>
  </si>
  <si>
    <t xml:space="preserve">Ishara Weerasinghe</t>
  </si>
  <si>
    <t xml:space="preserve">0728271091</t>
  </si>
  <si>
    <t xml:space="preserve">imran.weerasinghe61@studentmail.example.lk</t>
  </si>
  <si>
    <t xml:space="preserve">STU0062</t>
  </si>
  <si>
    <t xml:space="preserve">2019/2600</t>
  </si>
  <si>
    <t xml:space="preserve">Pasindu Gunawardena</t>
  </si>
  <si>
    <t xml:space="preserve">No. 15, Kotte Road, Negombo</t>
  </si>
  <si>
    <t xml:space="preserve">0751799042</t>
  </si>
  <si>
    <t xml:space="preserve">0710202758</t>
  </si>
  <si>
    <t xml:space="preserve">pasindu.gunawardena62@studentmail.example.lk</t>
  </si>
  <si>
    <t xml:space="preserve">STU0063</t>
  </si>
  <si>
    <t xml:space="preserve">2018/1935</t>
  </si>
  <si>
    <t xml:space="preserve">Damith Kumara</t>
  </si>
  <si>
    <t xml:space="preserve">No. 121, Baseline Road, Galle</t>
  </si>
  <si>
    <t xml:space="preserve">0702086353</t>
  </si>
  <si>
    <t xml:space="preserve">Nuwan Kumara</t>
  </si>
  <si>
    <t xml:space="preserve">0755419518</t>
  </si>
  <si>
    <t xml:space="preserve">damith.kumara63@studentmail.example.lk</t>
  </si>
  <si>
    <t xml:space="preserve">STU0064</t>
  </si>
  <si>
    <t xml:space="preserve">2017/1425</t>
  </si>
  <si>
    <t xml:space="preserve">Shanika Perera</t>
  </si>
  <si>
    <t xml:space="preserve">No. 183, Highlevel Road, Negombo</t>
  </si>
  <si>
    <t xml:space="preserve">0713865719</t>
  </si>
  <si>
    <t xml:space="preserve">Vidushi Dissanayake</t>
  </si>
  <si>
    <t xml:space="preserve">0718261990</t>
  </si>
  <si>
    <t xml:space="preserve">shanika.perera64@studentmail.example.lk</t>
  </si>
  <si>
    <t xml:space="preserve">STU0065</t>
  </si>
  <si>
    <t xml:space="preserve">2019/2851</t>
  </si>
  <si>
    <t xml:space="preserve">No. 176, Highlevel Road, Ratnapura</t>
  </si>
  <si>
    <t xml:space="preserve">0713521356</t>
  </si>
  <si>
    <t xml:space="preserve">Ravindu Pathirana</t>
  </si>
  <si>
    <t xml:space="preserve">0760442067</t>
  </si>
  <si>
    <t xml:space="preserve">wathsala.pathirana65@studentmail.example.lk</t>
  </si>
  <si>
    <t xml:space="preserve">STU0066</t>
  </si>
  <si>
    <t xml:space="preserve">2015/4314</t>
  </si>
  <si>
    <t xml:space="preserve">Kuganesan Hettiarachchi</t>
  </si>
  <si>
    <t xml:space="preserve">No. 44, Lake Drive, Galle</t>
  </si>
  <si>
    <t xml:space="preserve">0786706625</t>
  </si>
  <si>
    <t xml:space="preserve">Lahiru Jayasinghe</t>
  </si>
  <si>
    <t xml:space="preserve">0702447209</t>
  </si>
  <si>
    <t xml:space="preserve">kuganesan.hettiarachchi66@studentmail.example.lk</t>
  </si>
  <si>
    <t xml:space="preserve">STU0067</t>
  </si>
  <si>
    <t xml:space="preserve">2018/2306</t>
  </si>
  <si>
    <t xml:space="preserve">Kalpana Rizwan</t>
  </si>
  <si>
    <t xml:space="preserve">No. 121, Park Avenue, Kurunegala</t>
  </si>
  <si>
    <t xml:space="preserve">0789321334</t>
  </si>
  <si>
    <t xml:space="preserve">Nipun Rizwan</t>
  </si>
  <si>
    <t xml:space="preserve">0760396522</t>
  </si>
  <si>
    <t xml:space="preserve">kalpana.rizwan67@studentmail.example.lk</t>
  </si>
  <si>
    <t xml:space="preserve">STU0068</t>
  </si>
  <si>
    <t xml:space="preserve">2016/1243</t>
  </si>
  <si>
    <t xml:space="preserve">Risma Nawfar Senanayake</t>
  </si>
  <si>
    <t xml:space="preserve">No. 96, Station Road, Ratnapura</t>
  </si>
  <si>
    <t xml:space="preserve">0715452267</t>
  </si>
  <si>
    <t xml:space="preserve">Kalani Bandara</t>
  </si>
  <si>
    <t xml:space="preserve">0775289539</t>
  </si>
  <si>
    <t xml:space="preserve">risma.senanayake68@studentmail.example.lk</t>
  </si>
  <si>
    <t xml:space="preserve">STU0069</t>
  </si>
  <si>
    <t xml:space="preserve">2019/3839</t>
  </si>
  <si>
    <t xml:space="preserve">Imran Naufer Madushanka</t>
  </si>
  <si>
    <t xml:space="preserve">No. 113, Station Road, Kandy</t>
  </si>
  <si>
    <t xml:space="preserve">0757658617</t>
  </si>
  <si>
    <t xml:space="preserve">Kasun Madushanka</t>
  </si>
  <si>
    <t xml:space="preserve">0789327104</t>
  </si>
  <si>
    <t xml:space="preserve">imran.madushanka69@studentmail.example.lk</t>
  </si>
  <si>
    <t xml:space="preserve">STU0070</t>
  </si>
  <si>
    <t xml:space="preserve">2018/1972</t>
  </si>
  <si>
    <t xml:space="preserve">Anjali Senanayake</t>
  </si>
  <si>
    <t xml:space="preserve">No. 1, Station Road, Negombo</t>
  </si>
  <si>
    <t xml:space="preserve">0729731032</t>
  </si>
  <si>
    <t xml:space="preserve">Pasindu Senanayake</t>
  </si>
  <si>
    <t xml:space="preserve">0774171467</t>
  </si>
  <si>
    <t xml:space="preserve">anjali.senanayake70@studentmail.example.lk</t>
  </si>
  <si>
    <t xml:space="preserve">STU0071</t>
  </si>
  <si>
    <t xml:space="preserve">2020/4443</t>
  </si>
  <si>
    <t xml:space="preserve">Lahiru Selvarajah</t>
  </si>
  <si>
    <t xml:space="preserve">No. 21, Station Road, Colombo</t>
  </si>
  <si>
    <t xml:space="preserve">0769899217</t>
  </si>
  <si>
    <t xml:space="preserve">Wathsala Hashim</t>
  </si>
  <si>
    <t xml:space="preserve">0702332061</t>
  </si>
  <si>
    <t xml:space="preserve">lahiru.selvarajah71@studentmail.example.lk</t>
  </si>
  <si>
    <t xml:space="preserve">STU0072</t>
  </si>
  <si>
    <t xml:space="preserve">2015/4595</t>
  </si>
  <si>
    <t xml:space="preserve">Dinusha Wickramasinghe</t>
  </si>
  <si>
    <t xml:space="preserve">No. 10, Negombo Road, Kalutara</t>
  </si>
  <si>
    <t xml:space="preserve">0752996065</t>
  </si>
  <si>
    <t xml:space="preserve">Wathsala Wickramasinghe</t>
  </si>
  <si>
    <t xml:space="preserve">0773074505</t>
  </si>
  <si>
    <t xml:space="preserve">dinusha.wickramasinghe72@studentmail.example.lk</t>
  </si>
  <si>
    <t xml:space="preserve">STU0073</t>
  </si>
  <si>
    <t xml:space="preserve">2018/1268</t>
  </si>
  <si>
    <t xml:space="preserve">Priyanka Careem</t>
  </si>
  <si>
    <t xml:space="preserve">No. 45, Kotte Road, Gampaha</t>
  </si>
  <si>
    <t xml:space="preserve">0780307053</t>
  </si>
  <si>
    <t xml:space="preserve">Kalani Silva</t>
  </si>
  <si>
    <t xml:space="preserve">0725786103</t>
  </si>
  <si>
    <t xml:space="preserve">priyanka.careem73@studentmail.example.lk</t>
  </si>
  <si>
    <t xml:space="preserve">STU0074</t>
  </si>
  <si>
    <t xml:space="preserve">2016/3668</t>
  </si>
  <si>
    <t xml:space="preserve">Vinoth Wijesinghe</t>
  </si>
  <si>
    <t xml:space="preserve">No. 154, Galle Road, Gampaha</t>
  </si>
  <si>
    <t xml:space="preserve">0729446657</t>
  </si>
  <si>
    <t xml:space="preserve">Yashodha Ranasinghe</t>
  </si>
  <si>
    <t xml:space="preserve">0723748969</t>
  </si>
  <si>
    <t xml:space="preserve">vinoth.wijesinghe74@studentmail.example.lk</t>
  </si>
  <si>
    <t xml:space="preserve">STU0075</t>
  </si>
  <si>
    <t xml:space="preserve">2019/3388</t>
  </si>
  <si>
    <t xml:space="preserve">Vidushi Hettiarachchi</t>
  </si>
  <si>
    <t xml:space="preserve">No. 164, Temple Lane, Kurunegala</t>
  </si>
  <si>
    <t xml:space="preserve">0764282417</t>
  </si>
  <si>
    <t xml:space="preserve">Charith Hettiarachchi</t>
  </si>
  <si>
    <t xml:space="preserve">0704825135</t>
  </si>
  <si>
    <t xml:space="preserve">vidushi.hettiarachchi75@studentmail.example.lk</t>
  </si>
  <si>
    <t xml:space="preserve">STU0076</t>
  </si>
  <si>
    <t xml:space="preserve">2016/1586</t>
  </si>
  <si>
    <t xml:space="preserve">Nethmi Dissanayake</t>
  </si>
  <si>
    <t xml:space="preserve">No. 46, Baseline Road, Colombo</t>
  </si>
  <si>
    <t xml:space="preserve">0717432927</t>
  </si>
  <si>
    <t xml:space="preserve">0781296666</t>
  </si>
  <si>
    <t xml:space="preserve">nethmi.dissanayake76@studentmail.example.lk</t>
  </si>
  <si>
    <t xml:space="preserve">STU0077</t>
  </si>
  <si>
    <t xml:space="preserve">2017/1684</t>
  </si>
  <si>
    <t xml:space="preserve">Bhanuka Selvarajah</t>
  </si>
  <si>
    <t xml:space="preserve">No. 134, Lake Drive, Kegalle</t>
  </si>
  <si>
    <t xml:space="preserve">0726257532</t>
  </si>
  <si>
    <t xml:space="preserve">Kuganesan Selvarajah</t>
  </si>
  <si>
    <t xml:space="preserve">0786033230</t>
  </si>
  <si>
    <t xml:space="preserve">bhanuka.selvarajah77@studentmail.example.lk</t>
  </si>
  <si>
    <t xml:space="preserve">STU0078</t>
  </si>
  <si>
    <t xml:space="preserve">2020/1841</t>
  </si>
  <si>
    <t xml:space="preserve">Manori Rajapaksa</t>
  </si>
  <si>
    <t xml:space="preserve">No. 160, Lake Drive, Kandy</t>
  </si>
  <si>
    <t xml:space="preserve">0751891411</t>
  </si>
  <si>
    <t xml:space="preserve">Sachini Rajapaksa</t>
  </si>
  <si>
    <t xml:space="preserve">0753934835</t>
  </si>
  <si>
    <t xml:space="preserve">manori.rajapaksa78@studentmail.example.lk</t>
  </si>
  <si>
    <t xml:space="preserve">STU0079</t>
  </si>
  <si>
    <t xml:space="preserve">2018/1389</t>
  </si>
  <si>
    <t xml:space="preserve">Dilshan Rathnayake</t>
  </si>
  <si>
    <t xml:space="preserve">No. 44, Baseline Road, Kurunegala</t>
  </si>
  <si>
    <t xml:space="preserve">0759415521</t>
  </si>
  <si>
    <t xml:space="preserve">Ridmal Rathnayake</t>
  </si>
  <si>
    <t xml:space="preserve">0756746762</t>
  </si>
  <si>
    <t xml:space="preserve">dilshan.rathnayake79@studentmail.example.lk</t>
  </si>
  <si>
    <t xml:space="preserve">STU0080</t>
  </si>
  <si>
    <t xml:space="preserve">2015/3126</t>
  </si>
  <si>
    <t xml:space="preserve">Erandi Pathirana</t>
  </si>
  <si>
    <t xml:space="preserve">No. 124, Baseline Road, Galle</t>
  </si>
  <si>
    <t xml:space="preserve">0708900287</t>
  </si>
  <si>
    <t xml:space="preserve">Shanika Pathirana</t>
  </si>
  <si>
    <t xml:space="preserve">0787217535</t>
  </si>
  <si>
    <t xml:space="preserve">erandi.pathirana80@studentmail.example.lk</t>
  </si>
  <si>
    <t xml:space="preserve">STU0081</t>
  </si>
  <si>
    <t xml:space="preserve">2016/3282</t>
  </si>
  <si>
    <t xml:space="preserve">Madushani Naufer</t>
  </si>
  <si>
    <t xml:space="preserve">No. 168, Temple Lane, Kurunegala</t>
  </si>
  <si>
    <t xml:space="preserve">0720375899</t>
  </si>
  <si>
    <t xml:space="preserve">Ranjini Naufer</t>
  </si>
  <si>
    <t xml:space="preserve">0755711305</t>
  </si>
  <si>
    <t xml:space="preserve">madushani.naufer81@studentmail.example.lk</t>
  </si>
  <si>
    <t xml:space="preserve">STU0082</t>
  </si>
  <si>
    <t xml:space="preserve">2017/3266</t>
  </si>
  <si>
    <t xml:space="preserve">Wathsala Rizwan</t>
  </si>
  <si>
    <t xml:space="preserve">No. 209, Negombo Road, Negombo</t>
  </si>
  <si>
    <t xml:space="preserve">0759958669</t>
  </si>
  <si>
    <t xml:space="preserve">Janani Rizwan</t>
  </si>
  <si>
    <t xml:space="preserve">0773465472</t>
  </si>
  <si>
    <t xml:space="preserve">wathsala.rizwan82@studentmail.example.lk</t>
  </si>
  <si>
    <t xml:space="preserve">STU0083</t>
  </si>
  <si>
    <t xml:space="preserve">2019/3761</t>
  </si>
  <si>
    <t xml:space="preserve">Madushani Selvarajah</t>
  </si>
  <si>
    <t xml:space="preserve">No. 98, Negombo Road, Colombo</t>
  </si>
  <si>
    <t xml:space="preserve">0770342442</t>
  </si>
  <si>
    <t xml:space="preserve">Nuwan Selvarajah</t>
  </si>
  <si>
    <t xml:space="preserve">0780438057</t>
  </si>
  <si>
    <t xml:space="preserve">madushani.selvarajah83@studentmail.example.lk</t>
  </si>
  <si>
    <t xml:space="preserve">STU0084</t>
  </si>
  <si>
    <t xml:space="preserve">2019/2838</t>
  </si>
  <si>
    <t xml:space="preserve">Fathima Rinosa Niyas</t>
  </si>
  <si>
    <t xml:space="preserve">No. 97, Galle Road, Galle</t>
  </si>
  <si>
    <t xml:space="preserve">0728422940</t>
  </si>
  <si>
    <t xml:space="preserve">Hashan Niyas</t>
  </si>
  <si>
    <t xml:space="preserve">0727202590</t>
  </si>
  <si>
    <t xml:space="preserve">fathima.niyas84@studentmail.example.lk</t>
  </si>
  <si>
    <t xml:space="preserve">STU0085</t>
  </si>
  <si>
    <t xml:space="preserve">2020/4618</t>
  </si>
  <si>
    <t xml:space="preserve">Senura Niyas</t>
  </si>
  <si>
    <t xml:space="preserve">No. 144, Galle Road, Negombo</t>
  </si>
  <si>
    <t xml:space="preserve">0775739930</t>
  </si>
  <si>
    <t xml:space="preserve">Dilini Niyas</t>
  </si>
  <si>
    <t xml:space="preserve">0775616484</t>
  </si>
  <si>
    <t xml:space="preserve">senura.niyas85@studentmail.example.lk</t>
  </si>
  <si>
    <t xml:space="preserve">STU0086</t>
  </si>
  <si>
    <t xml:space="preserve">2016/1155</t>
  </si>
  <si>
    <t xml:space="preserve">Erandi Bandara</t>
  </si>
  <si>
    <t xml:space="preserve">No. 148, Kotte Road, Kalutara</t>
  </si>
  <si>
    <t xml:space="preserve">0756766506</t>
  </si>
  <si>
    <t xml:space="preserve">Lakshan Bandara</t>
  </si>
  <si>
    <t xml:space="preserve">0771809190</t>
  </si>
  <si>
    <t xml:space="preserve">erandi.bandara86@studentmail.example.lk</t>
  </si>
  <si>
    <t xml:space="preserve">STU0087</t>
  </si>
  <si>
    <t xml:space="preserve">2017/4921</t>
  </si>
  <si>
    <t xml:space="preserve">Mihiran Niyas</t>
  </si>
  <si>
    <t xml:space="preserve">No. 153, Station Road, Kegalle</t>
  </si>
  <si>
    <t xml:space="preserve">0761435368</t>
  </si>
  <si>
    <t xml:space="preserve">Lahiru Niyas</t>
  </si>
  <si>
    <t xml:space="preserve">0702239431</t>
  </si>
  <si>
    <t xml:space="preserve">mihiran.niyas87@studentmail.example.lk</t>
  </si>
  <si>
    <t xml:space="preserve">STU0088</t>
  </si>
  <si>
    <t xml:space="preserve">2017/4686</t>
  </si>
  <si>
    <t xml:space="preserve">Ranjini Selvarajah</t>
  </si>
  <si>
    <t xml:space="preserve">No. 79, Lake Drive, Kandy</t>
  </si>
  <si>
    <t xml:space="preserve">0769556205</t>
  </si>
  <si>
    <t xml:space="preserve">Imran Naufer Selvarajah</t>
  </si>
  <si>
    <t xml:space="preserve">0703645257</t>
  </si>
  <si>
    <t xml:space="preserve">ranjini.selvarajah88@studentmail.example.lk</t>
  </si>
  <si>
    <t xml:space="preserve">STU0089</t>
  </si>
  <si>
    <t xml:space="preserve">2017/2625</t>
  </si>
  <si>
    <t xml:space="preserve">Senuri Rathnayake</t>
  </si>
  <si>
    <t xml:space="preserve">No. 194, Park Avenue, Kandy</t>
  </si>
  <si>
    <t xml:space="preserve">0752299275</t>
  </si>
  <si>
    <t xml:space="preserve">Tharaki Rathnayake</t>
  </si>
  <si>
    <t xml:space="preserve">0713731453</t>
  </si>
  <si>
    <t xml:space="preserve">senuri.rathnayake89@studentmail.example.lk</t>
  </si>
  <si>
    <t xml:space="preserve">STU0090</t>
  </si>
  <si>
    <t xml:space="preserve">2019/2445</t>
  </si>
  <si>
    <t xml:space="preserve">Fathima Rinosa Bandara</t>
  </si>
  <si>
    <t xml:space="preserve">No. 113, Negombo Road, Gampaha</t>
  </si>
  <si>
    <t xml:space="preserve">0718432225</t>
  </si>
  <si>
    <t xml:space="preserve">Dinithi Perera</t>
  </si>
  <si>
    <t xml:space="preserve">0761365177</t>
  </si>
  <si>
    <t xml:space="preserve">fathima.bandara90@studentmail.example.lk</t>
  </si>
  <si>
    <t xml:space="preserve">STU0091</t>
  </si>
  <si>
    <t xml:space="preserve">2017/3552</t>
  </si>
  <si>
    <t xml:space="preserve">Janani Kumara</t>
  </si>
  <si>
    <t xml:space="preserve">No. 59, Station Road, Galle</t>
  </si>
  <si>
    <t xml:space="preserve">0701038862</t>
  </si>
  <si>
    <t xml:space="preserve">Riyas Naleem Bandara</t>
  </si>
  <si>
    <t xml:space="preserve">0761279908</t>
  </si>
  <si>
    <t xml:space="preserve">janani.kumara91@studentmail.example.lk</t>
  </si>
  <si>
    <t xml:space="preserve">STU0092</t>
  </si>
  <si>
    <t xml:space="preserve">2016/2055</t>
  </si>
  <si>
    <t xml:space="preserve">Yohan Hashim</t>
  </si>
  <si>
    <t xml:space="preserve">No. 168, Kotte Road, Kurunegala</t>
  </si>
  <si>
    <t xml:space="preserve">0755126944</t>
  </si>
  <si>
    <t xml:space="preserve">Vishaka Hashim</t>
  </si>
  <si>
    <t xml:space="preserve">0788695946</t>
  </si>
  <si>
    <t xml:space="preserve">yohan.hashim92@studentmail.example.lk</t>
  </si>
  <si>
    <t xml:space="preserve">STU0093</t>
  </si>
  <si>
    <t xml:space="preserve">2020/1658</t>
  </si>
  <si>
    <t xml:space="preserve">Sahan Wijesinghe</t>
  </si>
  <si>
    <t xml:space="preserve">No. 23, Kandy Road, Kalutara</t>
  </si>
  <si>
    <t xml:space="preserve">0705190669</t>
  </si>
  <si>
    <t xml:space="preserve">Nadeesh Wijesinghe</t>
  </si>
  <si>
    <t xml:space="preserve">0778490277</t>
  </si>
  <si>
    <t xml:space="preserve">sahan.wijesinghe93@studentmail.example.lk</t>
  </si>
  <si>
    <t xml:space="preserve">STU0094</t>
  </si>
  <si>
    <t xml:space="preserve">2018/3400</t>
  </si>
  <si>
    <t xml:space="preserve">No. 186, Park Avenue, Ratnapura</t>
  </si>
  <si>
    <t xml:space="preserve">0725439376</t>
  </si>
  <si>
    <t xml:space="preserve">Ravindu Gamage</t>
  </si>
  <si>
    <t xml:space="preserve">0760426818</t>
  </si>
  <si>
    <t xml:space="preserve">lahiru.gamage94@studentmail.example.lk</t>
  </si>
  <si>
    <t xml:space="preserve">STU0095</t>
  </si>
  <si>
    <t xml:space="preserve">2017/1311</t>
  </si>
  <si>
    <t xml:space="preserve">Yohan Abeysekara</t>
  </si>
  <si>
    <t xml:space="preserve">No. 229, Lake Drive, Kalutara</t>
  </si>
  <si>
    <t xml:space="preserve">0703733343</t>
  </si>
  <si>
    <t xml:space="preserve">Mohamed Riza Abeysekara</t>
  </si>
  <si>
    <t xml:space="preserve">0703395211</t>
  </si>
  <si>
    <t xml:space="preserve">yohan.abeysekara95@studentmail.example.lk</t>
  </si>
  <si>
    <t xml:space="preserve">STU0096</t>
  </si>
  <si>
    <t xml:space="preserve">2018/2612</t>
  </si>
  <si>
    <t xml:space="preserve">Tharindu Careem</t>
  </si>
  <si>
    <t xml:space="preserve">No. 118, Baseline Road, Colombo</t>
  </si>
  <si>
    <t xml:space="preserve">0713691559</t>
  </si>
  <si>
    <t xml:space="preserve">Akila Careem</t>
  </si>
  <si>
    <t xml:space="preserve">0784284347</t>
  </si>
  <si>
    <t xml:space="preserve">tharindu.careem96@studentmail.example.lk</t>
  </si>
  <si>
    <t xml:space="preserve">STU0097</t>
  </si>
  <si>
    <t xml:space="preserve">2016/3302</t>
  </si>
  <si>
    <t xml:space="preserve">Senura Naufer</t>
  </si>
  <si>
    <t xml:space="preserve">No. 16, Kotte Road, Kalutara</t>
  </si>
  <si>
    <t xml:space="preserve">0751754558</t>
  </si>
  <si>
    <t xml:space="preserve">Sachin Naufer</t>
  </si>
  <si>
    <t xml:space="preserve">0764506159</t>
  </si>
  <si>
    <t xml:space="preserve">senura.naufer97@studentmail.example.lk</t>
  </si>
  <si>
    <t xml:space="preserve">STU0098</t>
  </si>
  <si>
    <t xml:space="preserve">2016/3674</t>
  </si>
  <si>
    <t xml:space="preserve">Chathurika Gunawardena</t>
  </si>
  <si>
    <t xml:space="preserve">No. 192, Lake Drive, Kegalle</t>
  </si>
  <si>
    <t xml:space="preserve">0756220234</t>
  </si>
  <si>
    <t xml:space="preserve">Suresh Kandasamy</t>
  </si>
  <si>
    <t xml:space="preserve">0771326111</t>
  </si>
  <si>
    <t xml:space="preserve">chathurika.gunawardena98@studentmail.example.lk</t>
  </si>
  <si>
    <t xml:space="preserve">STU0099</t>
  </si>
  <si>
    <t xml:space="preserve">2019/4971</t>
  </si>
  <si>
    <t xml:space="preserve">Geethma Hashim</t>
  </si>
  <si>
    <t xml:space="preserve">No. 225, Lake Drive, Galle</t>
  </si>
  <si>
    <t xml:space="preserve">0768457831</t>
  </si>
  <si>
    <t xml:space="preserve">Kalpana Hashim</t>
  </si>
  <si>
    <t xml:space="preserve">0754564240</t>
  </si>
  <si>
    <t xml:space="preserve">geethma.hashim99@studentmail.example.lk</t>
  </si>
  <si>
    <t xml:space="preserve">STU0100</t>
  </si>
  <si>
    <t xml:space="preserve">2016/2691</t>
  </si>
  <si>
    <t xml:space="preserve">Ishara Velauthapillai</t>
  </si>
  <si>
    <t xml:space="preserve">No. 164, Temple Lane, Ratnapura</t>
  </si>
  <si>
    <t xml:space="preserve">0754973502</t>
  </si>
  <si>
    <t xml:space="preserve">Ridmal Velauthapillai</t>
  </si>
  <si>
    <t xml:space="preserve">0718021442</t>
  </si>
  <si>
    <t xml:space="preserve">ishara.velauthapillai100@studentmail.example.lk</t>
  </si>
  <si>
    <t xml:space="preserve">STU0101</t>
  </si>
  <si>
    <t xml:space="preserve">2018/4347</t>
  </si>
  <si>
    <t xml:space="preserve">Chathurika Niyas</t>
  </si>
  <si>
    <t xml:space="preserve">No. 250, Temple Lane, Gampaha</t>
  </si>
  <si>
    <t xml:space="preserve">0770371837</t>
  </si>
  <si>
    <t xml:space="preserve">Sithum Niyas</t>
  </si>
  <si>
    <t xml:space="preserve">0754520881</t>
  </si>
  <si>
    <t xml:space="preserve">chathurika.niyas101@studentmail.example.lk</t>
  </si>
  <si>
    <t xml:space="preserve">STU0102</t>
  </si>
  <si>
    <t xml:space="preserve">2017/1374</t>
  </si>
  <si>
    <t xml:space="preserve">Aysha Nimna Dissanayake</t>
  </si>
  <si>
    <t xml:space="preserve">No. 40, Park Avenue, Negombo</t>
  </si>
  <si>
    <t xml:space="preserve">0707358573</t>
  </si>
  <si>
    <t xml:space="preserve">Nipun Dissanayake</t>
  </si>
  <si>
    <t xml:space="preserve">0716524077</t>
  </si>
  <si>
    <t xml:space="preserve">aysha.dissanayake102@studentmail.example.lk</t>
  </si>
  <si>
    <t xml:space="preserve">STU0103</t>
  </si>
  <si>
    <t xml:space="preserve">2019/3953</t>
  </si>
  <si>
    <t xml:space="preserve">Pavithra Silva</t>
  </si>
  <si>
    <t xml:space="preserve">No. 157, Highlevel Road, Kurunegala</t>
  </si>
  <si>
    <t xml:space="preserve">0755118102</t>
  </si>
  <si>
    <t xml:space="preserve">0700317310</t>
  </si>
  <si>
    <t xml:space="preserve">pavithra.silva103@studentmail.example.lk</t>
  </si>
  <si>
    <t xml:space="preserve">STU0104</t>
  </si>
  <si>
    <t xml:space="preserve">2020/4417</t>
  </si>
  <si>
    <t xml:space="preserve">Kalani Jayasinghe</t>
  </si>
  <si>
    <t xml:space="preserve">No. 49, Kotte Road, Kegalle</t>
  </si>
  <si>
    <t xml:space="preserve">0773928861</t>
  </si>
  <si>
    <t xml:space="preserve">Sachin Jayasinghe</t>
  </si>
  <si>
    <t xml:space="preserve">0789576122</t>
  </si>
  <si>
    <t xml:space="preserve">kalani.jayasinghe104@studentmail.example.lk</t>
  </si>
  <si>
    <t xml:space="preserve">STU0105</t>
  </si>
  <si>
    <t xml:space="preserve">2016/4764</t>
  </si>
  <si>
    <t xml:space="preserve">Sanduni Weerasinghe</t>
  </si>
  <si>
    <t xml:space="preserve">No. 40, Negombo Road, Kalutara</t>
  </si>
  <si>
    <t xml:space="preserve">0729334419</t>
  </si>
  <si>
    <t xml:space="preserve">Chamara Weerasinghe</t>
  </si>
  <si>
    <t xml:space="preserve">0759315727</t>
  </si>
  <si>
    <t xml:space="preserve">sanduni.weerasinghe105@studentmail.example.lk</t>
  </si>
  <si>
    <t xml:space="preserve">STU0106</t>
  </si>
  <si>
    <t xml:space="preserve">2016/2338</t>
  </si>
  <si>
    <t xml:space="preserve">Pasindu Careem</t>
  </si>
  <si>
    <t xml:space="preserve">No. 101, Temple Lane, Ratnapura</t>
  </si>
  <si>
    <t xml:space="preserve">0768136462</t>
  </si>
  <si>
    <t xml:space="preserve">Sahan Careem</t>
  </si>
  <si>
    <t xml:space="preserve">0705179086</t>
  </si>
  <si>
    <t xml:space="preserve">pasindu.careem106@studentmail.example.lk</t>
  </si>
  <si>
    <t xml:space="preserve">STU0107</t>
  </si>
  <si>
    <t xml:space="preserve">2015/1780</t>
  </si>
  <si>
    <t xml:space="preserve">Geethma Gunawardena</t>
  </si>
  <si>
    <t xml:space="preserve">No. 160, Negombo Road, Matara</t>
  </si>
  <si>
    <t xml:space="preserve">0713352110</t>
  </si>
  <si>
    <t xml:space="preserve">Sandun Rajendran</t>
  </si>
  <si>
    <t xml:space="preserve">0709240514</t>
  </si>
  <si>
    <t xml:space="preserve">geethma.gunawardena107@studentmail.example.lk</t>
  </si>
  <si>
    <t xml:space="preserve">STU0108</t>
  </si>
  <si>
    <t xml:space="preserve">2017/1217</t>
  </si>
  <si>
    <t xml:space="preserve">Nadeesha Jayasinghe</t>
  </si>
  <si>
    <t xml:space="preserve">No. 170, Baseline Road, Negombo</t>
  </si>
  <si>
    <t xml:space="preserve">0714636815</t>
  </si>
  <si>
    <t xml:space="preserve">Ishara Jayasinghe</t>
  </si>
  <si>
    <t xml:space="preserve">0759812387</t>
  </si>
  <si>
    <t xml:space="preserve">nadeesha.jayasinghe108@studentmail.example.lk</t>
  </si>
  <si>
    <t xml:space="preserve">STU0109</t>
  </si>
  <si>
    <t xml:space="preserve">2019/2839</t>
  </si>
  <si>
    <t xml:space="preserve">Senura Abeysekara</t>
  </si>
  <si>
    <t xml:space="preserve">No. 221, Negombo Road, Kalutara</t>
  </si>
  <si>
    <t xml:space="preserve">0778262925</t>
  </si>
  <si>
    <t xml:space="preserve">Janani Abeysekara</t>
  </si>
  <si>
    <t xml:space="preserve">0718812520</t>
  </si>
  <si>
    <t xml:space="preserve">senura.abeysekara109@studentmail.example.lk</t>
  </si>
  <si>
    <t xml:space="preserve">STU0110</t>
  </si>
  <si>
    <t xml:space="preserve">2019/1926</t>
  </si>
  <si>
    <t xml:space="preserve">Pavithra Sivakumar</t>
  </si>
  <si>
    <t xml:space="preserve">No. 172, Kotte Road, Gampaha</t>
  </si>
  <si>
    <t xml:space="preserve">0712797573</t>
  </si>
  <si>
    <t xml:space="preserve">Kavindi Sivakumar</t>
  </si>
  <si>
    <t xml:space="preserve">0756096569</t>
  </si>
  <si>
    <t xml:space="preserve">pavithra.sivakumar110@studentmail.example.lk</t>
  </si>
  <si>
    <t xml:space="preserve">STU0111</t>
  </si>
  <si>
    <t xml:space="preserve">2019/3114</t>
  </si>
  <si>
    <t xml:space="preserve">No. 199, Highlevel Road, Matara</t>
  </si>
  <si>
    <t xml:space="preserve">0706490827</t>
  </si>
  <si>
    <t xml:space="preserve">Kuganesan Careem</t>
  </si>
  <si>
    <t xml:space="preserve">0787181298</t>
  </si>
  <si>
    <t xml:space="preserve">akila.careem111@studentmail.example.lk</t>
  </si>
  <si>
    <t xml:space="preserve">STU0112</t>
  </si>
  <si>
    <t xml:space="preserve">2016/2551</t>
  </si>
  <si>
    <t xml:space="preserve">Charith Kandasamy</t>
  </si>
  <si>
    <t xml:space="preserve">No. 169, Negombo Road, Kandy</t>
  </si>
  <si>
    <t xml:space="preserve">0782206447</t>
  </si>
  <si>
    <t xml:space="preserve">0722123094</t>
  </si>
  <si>
    <t xml:space="preserve">charith.kandasamy112@studentmail.example.lk</t>
  </si>
  <si>
    <t xml:space="preserve">STU0113</t>
  </si>
  <si>
    <t xml:space="preserve">2017/1595</t>
  </si>
  <si>
    <t xml:space="preserve">Tharindu Ranasinghe</t>
  </si>
  <si>
    <t xml:space="preserve">No. 107, Negombo Road, Kandy</t>
  </si>
  <si>
    <t xml:space="preserve">0774999827</t>
  </si>
  <si>
    <t xml:space="preserve">Ravindu Ranasinghe</t>
  </si>
  <si>
    <t xml:space="preserve">0779501455</t>
  </si>
  <si>
    <t xml:space="preserve">tharindu.ranasinghe113@studentmail.example.lk</t>
  </si>
  <si>
    <t xml:space="preserve">STU0114</t>
  </si>
  <si>
    <t xml:space="preserve">2017/3128</t>
  </si>
  <si>
    <t xml:space="preserve">Aysha Nimna Pathirana</t>
  </si>
  <si>
    <t xml:space="preserve">No. 182, Highlevel Road, Gampaha</t>
  </si>
  <si>
    <t xml:space="preserve">0711071396</t>
  </si>
  <si>
    <t xml:space="preserve">Damith Karunaratne</t>
  </si>
  <si>
    <t xml:space="preserve">0750558303</t>
  </si>
  <si>
    <t xml:space="preserve">aysha.pathirana114@studentmail.example.lk</t>
  </si>
  <si>
    <t xml:space="preserve">STU0115</t>
  </si>
  <si>
    <t xml:space="preserve">2017/4265</t>
  </si>
  <si>
    <t xml:space="preserve">Ravindu Senanayake</t>
  </si>
  <si>
    <t xml:space="preserve">No. 229, Park Avenue, Kurunegala</t>
  </si>
  <si>
    <t xml:space="preserve">0756084958</t>
  </si>
  <si>
    <t xml:space="preserve">0760395512</t>
  </si>
  <si>
    <t xml:space="preserve">ravindu.senanayake115@studentmail.example.lk</t>
  </si>
  <si>
    <t xml:space="preserve">STU0116</t>
  </si>
  <si>
    <t xml:space="preserve">2018/4185</t>
  </si>
  <si>
    <t xml:space="preserve">Anjali Careem</t>
  </si>
  <si>
    <t xml:space="preserve">No. 124, Park Avenue, Kandy</t>
  </si>
  <si>
    <t xml:space="preserve">0705784521</t>
  </si>
  <si>
    <t xml:space="preserve">Geethma Careem</t>
  </si>
  <si>
    <t xml:space="preserve">0788230768</t>
  </si>
  <si>
    <t xml:space="preserve">anjali.careem116@studentmail.example.lk</t>
  </si>
  <si>
    <t xml:space="preserve">STU0117</t>
  </si>
  <si>
    <t xml:space="preserve">2017/4925</t>
  </si>
  <si>
    <t xml:space="preserve">Madushani Gamage</t>
  </si>
  <si>
    <t xml:space="preserve">No. 82, Highlevel Road, Kandy</t>
  </si>
  <si>
    <t xml:space="preserve">0774932149</t>
  </si>
  <si>
    <t xml:space="preserve">Rashmi Gamage</t>
  </si>
  <si>
    <t xml:space="preserve">0728702070</t>
  </si>
  <si>
    <t xml:space="preserve">madushani.gamage117@studentmail.example.lk</t>
  </si>
  <si>
    <t xml:space="preserve">STU0118</t>
  </si>
  <si>
    <t xml:space="preserve">2018/4739</t>
  </si>
  <si>
    <t xml:space="preserve">Erandi Mohamed</t>
  </si>
  <si>
    <t xml:space="preserve">No. 8, Kandy Road, Matara</t>
  </si>
  <si>
    <t xml:space="preserve">0715772459</t>
  </si>
  <si>
    <t xml:space="preserve">Ahamed Niyas Mohamed</t>
  </si>
  <si>
    <t xml:space="preserve">0762816158</t>
  </si>
  <si>
    <t xml:space="preserve">erandi.mohamed118@studentmail.example.lk</t>
  </si>
  <si>
    <t xml:space="preserve">STU0119</t>
  </si>
  <si>
    <t xml:space="preserve">2017/4915</t>
  </si>
  <si>
    <t xml:space="preserve">Kuganesan Mohamed</t>
  </si>
  <si>
    <t xml:space="preserve">No. 170, Galle Road, Negombo</t>
  </si>
  <si>
    <t xml:space="preserve">0702902278</t>
  </si>
  <si>
    <t xml:space="preserve">0726997335</t>
  </si>
  <si>
    <t xml:space="preserve">kuganesan.mohamed119@studentmail.example.lk</t>
  </si>
  <si>
    <t xml:space="preserve">STU0120</t>
  </si>
  <si>
    <t xml:space="preserve">2019/2663</t>
  </si>
  <si>
    <t xml:space="preserve">Akila Velauthapillai</t>
  </si>
  <si>
    <t xml:space="preserve">No. 216, Baseline Road, Galle</t>
  </si>
  <si>
    <t xml:space="preserve">0704220102</t>
  </si>
  <si>
    <t xml:space="preserve">Yashodha Velauthapillai</t>
  </si>
  <si>
    <t xml:space="preserve">0777621267</t>
  </si>
  <si>
    <t xml:space="preserve">akila.velauthapillai120@studentmail.example.lk</t>
  </si>
  <si>
    <t xml:space="preserve">STU0121</t>
  </si>
  <si>
    <t xml:space="preserve">2019/3887</t>
  </si>
  <si>
    <t xml:space="preserve">Sithara Niyas</t>
  </si>
  <si>
    <t xml:space="preserve">No. 120, Park Avenue, Negombo</t>
  </si>
  <si>
    <t xml:space="preserve">0769137189</t>
  </si>
  <si>
    <t xml:space="preserve">Nadeesh Niyas</t>
  </si>
  <si>
    <t xml:space="preserve">0729058077</t>
  </si>
  <si>
    <t xml:space="preserve">sithara.niyas121@studentmail.example.lk</t>
  </si>
  <si>
    <t xml:space="preserve">STU0122</t>
  </si>
  <si>
    <t xml:space="preserve">2015/2032</t>
  </si>
  <si>
    <t xml:space="preserve">Nadeesh Naufer</t>
  </si>
  <si>
    <t xml:space="preserve">No. 29, Lake Drive, Kandy</t>
  </si>
  <si>
    <t xml:space="preserve">0762752437</t>
  </si>
  <si>
    <t xml:space="preserve">Lakshan Naufer</t>
  </si>
  <si>
    <t xml:space="preserve">0708051292</t>
  </si>
  <si>
    <t xml:space="preserve">nadeesh.naufer122@studentmail.example.lk</t>
  </si>
  <si>
    <t xml:space="preserve">STU0123</t>
  </si>
  <si>
    <t xml:space="preserve">2019/3172</t>
  </si>
  <si>
    <t xml:space="preserve">Tharaki Karunaratne</t>
  </si>
  <si>
    <t xml:space="preserve">No. 81, Park Avenue, Colombo</t>
  </si>
  <si>
    <t xml:space="preserve">0718569454</t>
  </si>
  <si>
    <t xml:space="preserve">Anjali Karunaratne</t>
  </si>
  <si>
    <t xml:space="preserve">0721496739</t>
  </si>
  <si>
    <t xml:space="preserve">tharaki.karunaratne123@studentmail.example.lk</t>
  </si>
  <si>
    <t xml:space="preserve">STU0124</t>
  </si>
  <si>
    <t xml:space="preserve">2017/1790</t>
  </si>
  <si>
    <t xml:space="preserve">Riyas Naleem Rajendran</t>
  </si>
  <si>
    <t xml:space="preserve">No. 214, Kotte Road, Ratnapura</t>
  </si>
  <si>
    <t xml:space="preserve">0771119269</t>
  </si>
  <si>
    <t xml:space="preserve">Kushani Rajendran</t>
  </si>
  <si>
    <t xml:space="preserve">0782124471</t>
  </si>
  <si>
    <t xml:space="preserve">riyas.rajendran124@studentmail.example.lk</t>
  </si>
  <si>
    <t xml:space="preserve">STU0125</t>
  </si>
  <si>
    <t xml:space="preserve">2019/1444</t>
  </si>
  <si>
    <t xml:space="preserve">Sithum Senanayake</t>
  </si>
  <si>
    <t xml:space="preserve">No. 184, Highlevel Road, Negombo</t>
  </si>
  <si>
    <t xml:space="preserve">0711194707</t>
  </si>
  <si>
    <t xml:space="preserve">Tharaki Senanayake</t>
  </si>
  <si>
    <t xml:space="preserve">0700064256</t>
  </si>
  <si>
    <t xml:space="preserve">sithum.senanayake125@studentmail.example.lk</t>
  </si>
  <si>
    <t xml:space="preserve">STU0126</t>
  </si>
  <si>
    <t xml:space="preserve">2017/4114</t>
  </si>
  <si>
    <t xml:space="preserve">Mohamed Riza Gunawardena</t>
  </si>
  <si>
    <t xml:space="preserve">No. 99, Kotte Road, Kalutara</t>
  </si>
  <si>
    <t xml:space="preserve">0776157173</t>
  </si>
  <si>
    <t xml:space="preserve">Sithara Gunawardena</t>
  </si>
  <si>
    <t xml:space="preserve">0700309376</t>
  </si>
  <si>
    <t xml:space="preserve">mohamed.gunawardena126@studentmail.example.lk</t>
  </si>
  <si>
    <t xml:space="preserve">STU0127</t>
  </si>
  <si>
    <t xml:space="preserve">2017/4705</t>
  </si>
  <si>
    <t xml:space="preserve">Vishwa Fernando</t>
  </si>
  <si>
    <t xml:space="preserve">No. 152, Kandy Road, Negombo</t>
  </si>
  <si>
    <t xml:space="preserve">0717993136</t>
  </si>
  <si>
    <t xml:space="preserve">Tharaki Fernando</t>
  </si>
  <si>
    <t xml:space="preserve">0726519825</t>
  </si>
  <si>
    <t xml:space="preserve">vishwa.fernando127@studentmail.example.lk</t>
  </si>
  <si>
    <t xml:space="preserve">STU0128</t>
  </si>
  <si>
    <t xml:space="preserve">2019/1330</t>
  </si>
  <si>
    <t xml:space="preserve">Janith Wickramasinghe</t>
  </si>
  <si>
    <t xml:space="preserve">No. 107, Temple Lane, Kandy</t>
  </si>
  <si>
    <t xml:space="preserve">0702487632</t>
  </si>
  <si>
    <t xml:space="preserve">Risma Nawfar Wickramasinghe</t>
  </si>
  <si>
    <t xml:space="preserve">0760927914</t>
  </si>
  <si>
    <t xml:space="preserve">janith.wickramasinghe128@studentmail.example.lk</t>
  </si>
  <si>
    <t xml:space="preserve">STU0129</t>
  </si>
  <si>
    <t xml:space="preserve">2019/1221</t>
  </si>
  <si>
    <t xml:space="preserve">Riyas Naleem Hashim</t>
  </si>
  <si>
    <t xml:space="preserve">No. 158, Temple Lane, Colombo</t>
  </si>
  <si>
    <t xml:space="preserve">0710822078</t>
  </si>
  <si>
    <t xml:space="preserve">Pavithra Hashim</t>
  </si>
  <si>
    <t xml:space="preserve">0711379956</t>
  </si>
  <si>
    <t xml:space="preserve">riyas.hashim129@studentmail.example.lk</t>
  </si>
  <si>
    <t xml:space="preserve">STU0130</t>
  </si>
  <si>
    <t xml:space="preserve">2016/3948</t>
  </si>
  <si>
    <t xml:space="preserve">Mohamed Fazil Mohamed</t>
  </si>
  <si>
    <t xml:space="preserve">No. 9, Lake Drive, Colombo</t>
  </si>
  <si>
    <t xml:space="preserve">0722177625</t>
  </si>
  <si>
    <t xml:space="preserve">Mihiran Mohamed</t>
  </si>
  <si>
    <t xml:space="preserve">0704929298</t>
  </si>
  <si>
    <t xml:space="preserve">mohamed.mohamed130@studentmail.example.lk</t>
  </si>
  <si>
    <t xml:space="preserve">STU0131</t>
  </si>
  <si>
    <t xml:space="preserve">2019/2963</t>
  </si>
  <si>
    <t xml:space="preserve">Dilshan Hashim</t>
  </si>
  <si>
    <t xml:space="preserve">No. 178, Station Road, Gampaha</t>
  </si>
  <si>
    <t xml:space="preserve">0705431074</t>
  </si>
  <si>
    <t xml:space="preserve">Oshadi Hashim</t>
  </si>
  <si>
    <t xml:space="preserve">0707990772</t>
  </si>
  <si>
    <t xml:space="preserve">dilshan.hashim131@studentmail.example.lk</t>
  </si>
  <si>
    <t xml:space="preserve">STU0132</t>
  </si>
  <si>
    <t xml:space="preserve">2017/1566</t>
  </si>
  <si>
    <t xml:space="preserve">Damith Kandasamy</t>
  </si>
  <si>
    <t xml:space="preserve">No. 241, Lake Drive, Gampaha</t>
  </si>
  <si>
    <t xml:space="preserve">0783554864</t>
  </si>
  <si>
    <t xml:space="preserve">Risma Nawfar Kandasamy</t>
  </si>
  <si>
    <t xml:space="preserve">0711557788</t>
  </si>
  <si>
    <t xml:space="preserve">damith.kandasamy132@studentmail.example.lk</t>
  </si>
  <si>
    <t xml:space="preserve">STU0133</t>
  </si>
  <si>
    <t xml:space="preserve">2016/3032</t>
  </si>
  <si>
    <t xml:space="preserve">Nadeesh Bandara</t>
  </si>
  <si>
    <t xml:space="preserve">No. 175, Park Avenue, Kandy</t>
  </si>
  <si>
    <t xml:space="preserve">0755670431</t>
  </si>
  <si>
    <t xml:space="preserve">Kuganesan Bandara</t>
  </si>
  <si>
    <t xml:space="preserve">0713856955</t>
  </si>
  <si>
    <t xml:space="preserve">nadeesh.bandara133@studentmail.example.lk</t>
  </si>
  <si>
    <t xml:space="preserve">STU0134</t>
  </si>
  <si>
    <t xml:space="preserve">2016/3353</t>
  </si>
  <si>
    <t xml:space="preserve">Imran Naufer Dissanayake</t>
  </si>
  <si>
    <t xml:space="preserve">No. 182, Galle Road, Kurunegala</t>
  </si>
  <si>
    <t xml:space="preserve">0722578284</t>
  </si>
  <si>
    <t xml:space="preserve">Damith Dissanayake</t>
  </si>
  <si>
    <t xml:space="preserve">0710672752</t>
  </si>
  <si>
    <t xml:space="preserve">imran.dissanayake134@studentmail.example.lk</t>
  </si>
  <si>
    <t xml:space="preserve">STU0135</t>
  </si>
  <si>
    <t xml:space="preserve">2019/2336</t>
  </si>
  <si>
    <t xml:space="preserve">Pasindu Silva</t>
  </si>
  <si>
    <t xml:space="preserve">No. 22, Park Avenue, Matara</t>
  </si>
  <si>
    <t xml:space="preserve">0771863759</t>
  </si>
  <si>
    <t xml:space="preserve">Aravinth Silva</t>
  </si>
  <si>
    <t xml:space="preserve">0768056265</t>
  </si>
  <si>
    <t xml:space="preserve">pasindu.silva135@studentmail.example.lk</t>
  </si>
  <si>
    <t xml:space="preserve">STU0136</t>
  </si>
  <si>
    <t xml:space="preserve">2019/1362</t>
  </si>
  <si>
    <t xml:space="preserve">Pasindu Hashim</t>
  </si>
  <si>
    <t xml:space="preserve">No. 52, Negombo Road, Galle</t>
  </si>
  <si>
    <t xml:space="preserve">0728704947</t>
  </si>
  <si>
    <t xml:space="preserve">Hashan Hashim</t>
  </si>
  <si>
    <t xml:space="preserve">0767300244</t>
  </si>
  <si>
    <t xml:space="preserve">pasindu.hashim136@studentmail.example.lk</t>
  </si>
  <si>
    <t xml:space="preserve">STU0137</t>
  </si>
  <si>
    <t xml:space="preserve">2018/2528</t>
  </si>
  <si>
    <t xml:space="preserve">Kalpana Velauthapillai</t>
  </si>
  <si>
    <t xml:space="preserve">No. 38, Baseline Road, Matara</t>
  </si>
  <si>
    <t xml:space="preserve">0772520456</t>
  </si>
  <si>
    <t xml:space="preserve">Vihanga Velauthapillai</t>
  </si>
  <si>
    <t xml:space="preserve">0775044818</t>
  </si>
  <si>
    <t xml:space="preserve">kalpana.velauthapillai137@studentmail.example.lk</t>
  </si>
  <si>
    <t xml:space="preserve">STU0138</t>
  </si>
  <si>
    <t xml:space="preserve">2019/1633</t>
  </si>
  <si>
    <t xml:space="preserve">Kalani Naufer</t>
  </si>
  <si>
    <t xml:space="preserve">No. 20, Kandy Road, Kandy</t>
  </si>
  <si>
    <t xml:space="preserve">0717545279</t>
  </si>
  <si>
    <t xml:space="preserve">Sachini Naufer</t>
  </si>
  <si>
    <t xml:space="preserve">0765240132</t>
  </si>
  <si>
    <t xml:space="preserve">kalani.naufer138@studentmail.example.lk</t>
  </si>
  <si>
    <t xml:space="preserve">STU0139</t>
  </si>
  <si>
    <t xml:space="preserve">2018/4090</t>
  </si>
  <si>
    <t xml:space="preserve">No. 172, Baseline Road, Colombo</t>
  </si>
  <si>
    <t xml:space="preserve">0712495528</t>
  </si>
  <si>
    <t xml:space="preserve">Priyanka Ranasinghe</t>
  </si>
  <si>
    <t xml:space="preserve">0789389119</t>
  </si>
  <si>
    <t xml:space="preserve">vishwa.rajapaksa139@studentmail.example.lk</t>
  </si>
  <si>
    <t xml:space="preserve">STU0140</t>
  </si>
  <si>
    <t xml:space="preserve">2017/3106</t>
  </si>
  <si>
    <t xml:space="preserve">Charith Wickramasinghe</t>
  </si>
  <si>
    <t xml:space="preserve">No. 134, Negombo Road, Matara</t>
  </si>
  <si>
    <t xml:space="preserve">0785480157</t>
  </si>
  <si>
    <t xml:space="preserve">Akila Wickramasinghe</t>
  </si>
  <si>
    <t xml:space="preserve">0716479473</t>
  </si>
  <si>
    <t xml:space="preserve">charith.wickramasinghe140@studentmail.example.lk</t>
  </si>
  <si>
    <t xml:space="preserve">STU0141</t>
  </si>
  <si>
    <t xml:space="preserve">2016/1820</t>
  </si>
  <si>
    <t xml:space="preserve">Rashmi Wickramasinghe</t>
  </si>
  <si>
    <t xml:space="preserve">No. 186, Temple Lane, Kalutara</t>
  </si>
  <si>
    <t xml:space="preserve">0789946579</t>
  </si>
  <si>
    <t xml:space="preserve">Gayan Wickramasinghe</t>
  </si>
  <si>
    <t xml:space="preserve">0757842711</t>
  </si>
  <si>
    <t xml:space="preserve">rashmi.wickramasinghe141@studentmail.example.lk</t>
  </si>
  <si>
    <t xml:space="preserve">STU0142</t>
  </si>
  <si>
    <t xml:space="preserve">2018/3008</t>
  </si>
  <si>
    <t xml:space="preserve">Chamara Careem</t>
  </si>
  <si>
    <t xml:space="preserve">No. 99, Temple Lane, Kurunegala</t>
  </si>
  <si>
    <t xml:space="preserve">0786770028</t>
  </si>
  <si>
    <t xml:space="preserve">Chamara Rajapaksa</t>
  </si>
  <si>
    <t xml:space="preserve">0774276246</t>
  </si>
  <si>
    <t xml:space="preserve">chamara.careem142@studentmail.example.lk</t>
  </si>
  <si>
    <t xml:space="preserve">STU0143</t>
  </si>
  <si>
    <t xml:space="preserve">2015/2428</t>
  </si>
  <si>
    <t xml:space="preserve">Geethma Jayasinghe</t>
  </si>
  <si>
    <t xml:space="preserve">0720333491</t>
  </si>
  <si>
    <t xml:space="preserve">Chathurika Jayasinghe</t>
  </si>
  <si>
    <t xml:space="preserve">0771415208</t>
  </si>
  <si>
    <t xml:space="preserve">geethma.jayasinghe143@studentmail.example.lk</t>
  </si>
  <si>
    <t xml:space="preserve">STU0144</t>
  </si>
  <si>
    <t xml:space="preserve">2017/4442</t>
  </si>
  <si>
    <t xml:space="preserve">No. 147, Station Road, Gampaha</t>
  </si>
  <si>
    <t xml:space="preserve">0761919541</t>
  </si>
  <si>
    <t xml:space="preserve">Praveen Velauthapillai</t>
  </si>
  <si>
    <t xml:space="preserve">0768763514</t>
  </si>
  <si>
    <t xml:space="preserve">kalani.velauthapillai144@studentmail.example.lk</t>
  </si>
  <si>
    <t xml:space="preserve">STU0145</t>
  </si>
  <si>
    <t xml:space="preserve">2018/3596</t>
  </si>
  <si>
    <t xml:space="preserve">Akila Dissanayake</t>
  </si>
  <si>
    <t xml:space="preserve">No. 66, Lake Drive, Gampaha</t>
  </si>
  <si>
    <t xml:space="preserve">0753123034</t>
  </si>
  <si>
    <t xml:space="preserve">Vinoth Dissanayake</t>
  </si>
  <si>
    <t xml:space="preserve">0757866032</t>
  </si>
  <si>
    <t xml:space="preserve">akila.dissanayake145@studentmail.example.lk</t>
  </si>
  <si>
    <t xml:space="preserve">STU0146</t>
  </si>
  <si>
    <t xml:space="preserve">2018/1966</t>
  </si>
  <si>
    <t xml:space="preserve">Chathurika Thillainathan</t>
  </si>
  <si>
    <t xml:space="preserve">No. 154, Kandy Road, Kurunegala</t>
  </si>
  <si>
    <t xml:space="preserve">0729636321</t>
  </si>
  <si>
    <t xml:space="preserve">Oshadi Abeysekara</t>
  </si>
  <si>
    <t xml:space="preserve">0703476490</t>
  </si>
  <si>
    <t xml:space="preserve">chathurika.thillainathan146@studentmail.example.lk</t>
  </si>
  <si>
    <t xml:space="preserve">STU0147</t>
  </si>
  <si>
    <t xml:space="preserve">2016/4726</t>
  </si>
  <si>
    <t xml:space="preserve">Oshadi Kandasamy</t>
  </si>
  <si>
    <t xml:space="preserve">No. 77, Kotte Road, Kandy</t>
  </si>
  <si>
    <t xml:space="preserve">0755604177</t>
  </si>
  <si>
    <t xml:space="preserve">Ravindu Abeysekara</t>
  </si>
  <si>
    <t xml:space="preserve">0776561248</t>
  </si>
  <si>
    <t xml:space="preserve">oshadi.kandasamy147@studentmail.example.lk</t>
  </si>
  <si>
    <t xml:space="preserve">STU0148</t>
  </si>
  <si>
    <t xml:space="preserve">2018/2067</t>
  </si>
  <si>
    <t xml:space="preserve">Selvam Thillainathan</t>
  </si>
  <si>
    <t xml:space="preserve">No. 95, Negombo Road, Galle</t>
  </si>
  <si>
    <t xml:space="preserve">0759300893</t>
  </si>
  <si>
    <t xml:space="preserve">Mihiran Thillainathan</t>
  </si>
  <si>
    <t xml:space="preserve">0717342069</t>
  </si>
  <si>
    <t xml:space="preserve">selvam.thillainathan148@studentmail.example.lk</t>
  </si>
  <si>
    <t xml:space="preserve">STU0149</t>
  </si>
  <si>
    <t xml:space="preserve">2017/2713</t>
  </si>
  <si>
    <t xml:space="preserve">Kavindi Velauthapillai</t>
  </si>
  <si>
    <t xml:space="preserve">No. 159, Temple Lane, Gampaha</t>
  </si>
  <si>
    <t xml:space="preserve">0729710725</t>
  </si>
  <si>
    <t xml:space="preserve">Kuganesan Abeysekara</t>
  </si>
  <si>
    <t xml:space="preserve">0776366941</t>
  </si>
  <si>
    <t xml:space="preserve">kavindi.velauthapillai149@studentmail.example.lk</t>
  </si>
  <si>
    <t xml:space="preserve">STU0150</t>
  </si>
  <si>
    <t xml:space="preserve">2017/1523</t>
  </si>
  <si>
    <t xml:space="preserve">Methma Velauthapillai</t>
  </si>
  <si>
    <t xml:space="preserve">No. 225, Highlevel Road, Ratnapura</t>
  </si>
  <si>
    <t xml:space="preserve">0784856257</t>
  </si>
  <si>
    <t xml:space="preserve">Pavithra Velauthapillai</t>
  </si>
  <si>
    <t xml:space="preserve">0782870320</t>
  </si>
  <si>
    <t xml:space="preserve">methma.velauthapillai150@studentmail.example.lk</t>
  </si>
  <si>
    <t xml:space="preserve">STU0151</t>
  </si>
  <si>
    <t xml:space="preserve">2020/3390</t>
  </si>
  <si>
    <t xml:space="preserve">Pavithra Kumara</t>
  </si>
  <si>
    <t xml:space="preserve">No. 174, Kandy Road, Kurunegala</t>
  </si>
  <si>
    <t xml:space="preserve">0714165915</t>
  </si>
  <si>
    <t xml:space="preserve">Sachini Abeysekara</t>
  </si>
  <si>
    <t xml:space="preserve">0700177749</t>
  </si>
  <si>
    <t xml:space="preserve">pavithra.kumara151@studentmail.example.lk</t>
  </si>
  <si>
    <t xml:space="preserve">STU0152</t>
  </si>
  <si>
    <t xml:space="preserve">2015/2167</t>
  </si>
  <si>
    <t xml:space="preserve">Mihiran Gunawardena</t>
  </si>
  <si>
    <t xml:space="preserve">No. 111, Highlevel Road, Ratnapura</t>
  </si>
  <si>
    <t xml:space="preserve">0705158377</t>
  </si>
  <si>
    <t xml:space="preserve">Selvam Gunawardena</t>
  </si>
  <si>
    <t xml:space="preserve">0757499616</t>
  </si>
  <si>
    <t xml:space="preserve">mihiran.gunawardena152@studentmail.example.lk</t>
  </si>
  <si>
    <t xml:space="preserve">STU0153</t>
  </si>
  <si>
    <t xml:space="preserve">2017/3256</t>
  </si>
  <si>
    <t xml:space="preserve">Riyas Naleem Weerasinghe</t>
  </si>
  <si>
    <t xml:space="preserve">No. 25, Temple Lane, Ratnapura</t>
  </si>
  <si>
    <t xml:space="preserve">0784549180</t>
  </si>
  <si>
    <t xml:space="preserve">Ranjini Weerasinghe</t>
  </si>
  <si>
    <t xml:space="preserve">0717226016</t>
  </si>
  <si>
    <t xml:space="preserve">riyas.weerasinghe153@studentmail.example.lk</t>
  </si>
  <si>
    <t xml:space="preserve">STU0154</t>
  </si>
  <si>
    <t xml:space="preserve">2015/2884</t>
  </si>
  <si>
    <t xml:space="preserve">Kasun Murugesu</t>
  </si>
  <si>
    <t xml:space="preserve">No. 158, Baseline Road, Galle</t>
  </si>
  <si>
    <t xml:space="preserve">0784122031</t>
  </si>
  <si>
    <t xml:space="preserve">Vinodhini Murugesu</t>
  </si>
  <si>
    <t xml:space="preserve">0780303723</t>
  </si>
  <si>
    <t xml:space="preserve">kasun.murugesu154@studentmail.example.lk</t>
  </si>
  <si>
    <t xml:space="preserve">STU0155</t>
  </si>
  <si>
    <t xml:space="preserve">2015/2702</t>
  </si>
  <si>
    <t xml:space="preserve">Nethmi Madushanka</t>
  </si>
  <si>
    <t xml:space="preserve">No. 132, Lake Drive, Ratnapura</t>
  </si>
  <si>
    <t xml:space="preserve">0777308069</t>
  </si>
  <si>
    <t xml:space="preserve">Vidushi Madushanka</t>
  </si>
  <si>
    <t xml:space="preserve">0728146717</t>
  </si>
  <si>
    <t xml:space="preserve">nethmi.madushanka155@studentmail.example.lk</t>
  </si>
  <si>
    <t xml:space="preserve">STU0156</t>
  </si>
  <si>
    <t xml:space="preserve">2018/3829</t>
  </si>
  <si>
    <t xml:space="preserve">Erandi Kandasamy</t>
  </si>
  <si>
    <t xml:space="preserve">No. 156, Temple Lane, Negombo</t>
  </si>
  <si>
    <t xml:space="preserve">0786743380</t>
  </si>
  <si>
    <t xml:space="preserve">0715452280</t>
  </si>
  <si>
    <t xml:space="preserve">erandi.kandasamy156@studentmail.example.lk</t>
  </si>
  <si>
    <t xml:space="preserve">STU0157</t>
  </si>
  <si>
    <t xml:space="preserve">2016/4000</t>
  </si>
  <si>
    <t xml:space="preserve">Kavishka Kandasamy</t>
  </si>
  <si>
    <t xml:space="preserve">No. 32, Kotte Road, Matara</t>
  </si>
  <si>
    <t xml:space="preserve">0750375482</t>
  </si>
  <si>
    <t xml:space="preserve">0714565328</t>
  </si>
  <si>
    <t xml:space="preserve">kavishka.kandasamy157@studentmail.example.lk</t>
  </si>
  <si>
    <t xml:space="preserve">STU0158</t>
  </si>
  <si>
    <t xml:space="preserve">2019/4724</t>
  </si>
  <si>
    <t xml:space="preserve">Sithara Murugesu</t>
  </si>
  <si>
    <t xml:space="preserve">No. 228, Park Avenue, Ratnapura</t>
  </si>
  <si>
    <t xml:space="preserve">0789756341</t>
  </si>
  <si>
    <t xml:space="preserve">Madushani Murugesu</t>
  </si>
  <si>
    <t xml:space="preserve">0718562884</t>
  </si>
  <si>
    <t xml:space="preserve">sithara.murugesu158@studentmail.example.lk</t>
  </si>
  <si>
    <t xml:space="preserve">STU0159</t>
  </si>
  <si>
    <t xml:space="preserve">2019/2856</t>
  </si>
  <si>
    <t xml:space="preserve">Tharindu Rajapaksa</t>
  </si>
  <si>
    <t xml:space="preserve">No. 171, Lake Drive, Kandy</t>
  </si>
  <si>
    <t xml:space="preserve">0776831589</t>
  </si>
  <si>
    <t xml:space="preserve">Sanduni Rajapaksa</t>
  </si>
  <si>
    <t xml:space="preserve">0705712661</t>
  </si>
  <si>
    <t xml:space="preserve">tharindu.rajapaksa159@studentmail.example.lk</t>
  </si>
  <si>
    <t xml:space="preserve">STU0160</t>
  </si>
  <si>
    <t xml:space="preserve">2016/2938</t>
  </si>
  <si>
    <t xml:space="preserve">Sithum Mohamed</t>
  </si>
  <si>
    <t xml:space="preserve">No. 105, Kandy Road, Negombo</t>
  </si>
  <si>
    <t xml:space="preserve">0729408215</t>
  </si>
  <si>
    <t xml:space="preserve">Akila Mohamed</t>
  </si>
  <si>
    <t xml:space="preserve">0725447022</t>
  </si>
  <si>
    <t xml:space="preserve">sithum.mohamed160@studentmail.example.lk</t>
  </si>
  <si>
    <t xml:space="preserve">STU0161</t>
  </si>
  <si>
    <t xml:space="preserve">2019/2946</t>
  </si>
  <si>
    <t xml:space="preserve">Kalpana Weerasinghe</t>
  </si>
  <si>
    <t xml:space="preserve">No. 171, Temple Lane, Kandy</t>
  </si>
  <si>
    <t xml:space="preserve">0785199663</t>
  </si>
  <si>
    <t xml:space="preserve">Geethma Weerasinghe</t>
  </si>
  <si>
    <t xml:space="preserve">0755807412</t>
  </si>
  <si>
    <t xml:space="preserve">kalpana.weerasinghe161@studentmail.example.lk</t>
  </si>
  <si>
    <t xml:space="preserve">STU0162</t>
  </si>
  <si>
    <t xml:space="preserve">2019/2392</t>
  </si>
  <si>
    <t xml:space="preserve">Suresh Pathirana</t>
  </si>
  <si>
    <t xml:space="preserve">No. 66, Kandy Road, Negombo</t>
  </si>
  <si>
    <t xml:space="preserve">0718242241</t>
  </si>
  <si>
    <t xml:space="preserve">Kalani Pathirana</t>
  </si>
  <si>
    <t xml:space="preserve">0704620952</t>
  </si>
  <si>
    <t xml:space="preserve">suresh.pathirana162@studentmail.example.lk</t>
  </si>
  <si>
    <t xml:space="preserve">STU0163</t>
  </si>
  <si>
    <t xml:space="preserve">2018/2983</t>
  </si>
  <si>
    <t xml:space="preserve">Ridmal Jayasinghe</t>
  </si>
  <si>
    <t xml:space="preserve">No. 151, Kandy Road, Gampaha</t>
  </si>
  <si>
    <t xml:space="preserve">0788249671</t>
  </si>
  <si>
    <t xml:space="preserve">Suresh Jayasinghe</t>
  </si>
  <si>
    <t xml:space="preserve">0788325823</t>
  </si>
  <si>
    <t xml:space="preserve">ridmal.jayasinghe163@studentmail.example.lk</t>
  </si>
  <si>
    <t xml:space="preserve">STU0164</t>
  </si>
  <si>
    <t xml:space="preserve">2019/3860</t>
  </si>
  <si>
    <t xml:space="preserve">Dilini Kumara</t>
  </si>
  <si>
    <t xml:space="preserve">No. 227, Baseline Road, Kalutara</t>
  </si>
  <si>
    <t xml:space="preserve">0787435537</t>
  </si>
  <si>
    <t xml:space="preserve">0765020970</t>
  </si>
  <si>
    <t xml:space="preserve">dilini.kumara164@studentmail.example.lk</t>
  </si>
  <si>
    <t xml:space="preserve">STU0165</t>
  </si>
  <si>
    <t xml:space="preserve">2019/1907</t>
  </si>
  <si>
    <t xml:space="preserve">Kasun Rajapaksa</t>
  </si>
  <si>
    <t xml:space="preserve">No. 158, Highlevel Road, Gampaha</t>
  </si>
  <si>
    <t xml:space="preserve">0707504793</t>
  </si>
  <si>
    <t xml:space="preserve">Isuru Rajapaksa</t>
  </si>
  <si>
    <t xml:space="preserve">0713614987</t>
  </si>
  <si>
    <t xml:space="preserve">kasun.rajapaksa165@studentmail.example.lk</t>
  </si>
  <si>
    <t xml:space="preserve">STU0166</t>
  </si>
  <si>
    <t xml:space="preserve">2018/3785</t>
  </si>
  <si>
    <t xml:space="preserve">Thisara Jayasinghe</t>
  </si>
  <si>
    <t xml:space="preserve">No. 227, Kotte Road, Colombo</t>
  </si>
  <si>
    <t xml:space="preserve">0726875063</t>
  </si>
  <si>
    <t xml:space="preserve">Vishaka Jayasinghe</t>
  </si>
  <si>
    <t xml:space="preserve">0721903613</t>
  </si>
  <si>
    <t xml:space="preserve">thisara.jayasinghe166@studentmail.example.lk</t>
  </si>
  <si>
    <t xml:space="preserve">STU0167</t>
  </si>
  <si>
    <t xml:space="preserve">2019/4129</t>
  </si>
  <si>
    <t xml:space="preserve">No. 81, Kandy Road, Kandy</t>
  </si>
  <si>
    <t xml:space="preserve">0717049611</t>
  </si>
  <si>
    <t xml:space="preserve">Ashen Fernando</t>
  </si>
  <si>
    <t xml:space="preserve">0770804661</t>
  </si>
  <si>
    <t xml:space="preserve">nethmi.madushanka167@studentmail.example.lk</t>
  </si>
  <si>
    <t xml:space="preserve">STU0168</t>
  </si>
  <si>
    <t xml:space="preserve">2019/2455</t>
  </si>
  <si>
    <t xml:space="preserve">Kasun Bandara</t>
  </si>
  <si>
    <t xml:space="preserve">No. 16, Negombo Road, Kalutara</t>
  </si>
  <si>
    <t xml:space="preserve">0766854982</t>
  </si>
  <si>
    <t xml:space="preserve">Sithum Bandara</t>
  </si>
  <si>
    <t xml:space="preserve">0707495450</t>
  </si>
  <si>
    <t xml:space="preserve">kasun.bandara168@studentmail.example.lk</t>
  </si>
  <si>
    <t xml:space="preserve">STU0169</t>
  </si>
  <si>
    <t xml:space="preserve">2020/1429</t>
  </si>
  <si>
    <t xml:space="preserve">Fathima Rinosa Madushanka</t>
  </si>
  <si>
    <t xml:space="preserve">No. 120, Lake Drive, Gampaha</t>
  </si>
  <si>
    <t xml:space="preserve">0707563620</t>
  </si>
  <si>
    <t xml:space="preserve">Charith Karunaratne</t>
  </si>
  <si>
    <t xml:space="preserve">0720150812</t>
  </si>
  <si>
    <t xml:space="preserve">fathima.madushanka169@studentmail.example.lk</t>
  </si>
  <si>
    <t xml:space="preserve">STU0170</t>
  </si>
  <si>
    <t xml:space="preserve">2016/2386</t>
  </si>
  <si>
    <t xml:space="preserve">Yohan Wickramasinghe</t>
  </si>
  <si>
    <t xml:space="preserve">No. 96, Negombo Road, Kegalle</t>
  </si>
  <si>
    <t xml:space="preserve">0789611223</t>
  </si>
  <si>
    <t xml:space="preserve">Vishwa Wickramasinghe</t>
  </si>
  <si>
    <t xml:space="preserve">0708655963</t>
  </si>
  <si>
    <t xml:space="preserve">yohan.wickramasinghe170@studentmail.example.lk</t>
  </si>
  <si>
    <t xml:space="preserve">STU0171</t>
  </si>
  <si>
    <t xml:space="preserve">2019/4077</t>
  </si>
  <si>
    <t xml:space="preserve">Lahiru Hashim</t>
  </si>
  <si>
    <t xml:space="preserve">No. 183, Baseline Road, Kegalle</t>
  </si>
  <si>
    <t xml:space="preserve">0777774969</t>
  </si>
  <si>
    <t xml:space="preserve">0770333736</t>
  </si>
  <si>
    <t xml:space="preserve">lahiru.hashim171@studentmail.example.lk</t>
  </si>
  <si>
    <t xml:space="preserve">STU0172</t>
  </si>
  <si>
    <t xml:space="preserve">2018/2298</t>
  </si>
  <si>
    <t xml:space="preserve">Niluka Mohamed</t>
  </si>
  <si>
    <t xml:space="preserve">No. 166, Kandy Road, Kurunegala</t>
  </si>
  <si>
    <t xml:space="preserve">0714888143</t>
  </si>
  <si>
    <t xml:space="preserve">Thilini Mohamed</t>
  </si>
  <si>
    <t xml:space="preserve">0711150835</t>
  </si>
  <si>
    <t xml:space="preserve">niluka.mohamed172@studentmail.example.lk</t>
  </si>
  <si>
    <t xml:space="preserve">STU0173</t>
  </si>
  <si>
    <t xml:space="preserve">2016/3959</t>
  </si>
  <si>
    <t xml:space="preserve">Mihiran Karunaratne</t>
  </si>
  <si>
    <t xml:space="preserve">No. 110, Station Road, Gampaha</t>
  </si>
  <si>
    <t xml:space="preserve">0757805292</t>
  </si>
  <si>
    <t xml:space="preserve">Mohamed Riza Karunaratne</t>
  </si>
  <si>
    <t xml:space="preserve">0720755366</t>
  </si>
  <si>
    <t xml:space="preserve">mihiran.karunaratne173@studentmail.example.lk</t>
  </si>
  <si>
    <t xml:space="preserve">STU0174</t>
  </si>
  <si>
    <t xml:space="preserve">2016/2192</t>
  </si>
  <si>
    <t xml:space="preserve">No. 3, Negombo Road, Kurunegala</t>
  </si>
  <si>
    <t xml:space="preserve">0786621286</t>
  </si>
  <si>
    <t xml:space="preserve">Nipun Senanayake</t>
  </si>
  <si>
    <t xml:space="preserve">0751632346</t>
  </si>
  <si>
    <t xml:space="preserve">ravindu.senanayake174@studentmail.example.lk</t>
  </si>
  <si>
    <t xml:space="preserve">STU0175</t>
  </si>
  <si>
    <t xml:space="preserve">2018/2601</t>
  </si>
  <si>
    <t xml:space="preserve">Lahiru Rathnayake</t>
  </si>
  <si>
    <t xml:space="preserve">No. 159, Station Road, Matara</t>
  </si>
  <si>
    <t xml:space="preserve">0752916032</t>
  </si>
  <si>
    <t xml:space="preserve">Sithum Rathnayake</t>
  </si>
  <si>
    <t xml:space="preserve">0728413768</t>
  </si>
  <si>
    <t xml:space="preserve">lahiru.rathnayake175@studentmail.example.lk</t>
  </si>
  <si>
    <t xml:space="preserve">STU0176</t>
  </si>
  <si>
    <t xml:space="preserve">2016/2339</t>
  </si>
  <si>
    <t xml:space="preserve">Thilini Murugesu</t>
  </si>
  <si>
    <t xml:space="preserve">No. 141, Kotte Road, Matara</t>
  </si>
  <si>
    <t xml:space="preserve">0707422091</t>
  </si>
  <si>
    <t xml:space="preserve">Imesha Murugesu</t>
  </si>
  <si>
    <t xml:space="preserve">0704186210</t>
  </si>
  <si>
    <t xml:space="preserve">thilini.murugesu176@studentmail.example.lk</t>
  </si>
  <si>
    <t xml:space="preserve">STU0177</t>
  </si>
  <si>
    <t xml:space="preserve">2018/2727</t>
  </si>
  <si>
    <t xml:space="preserve">No. 17, Kotte Road, Negombo</t>
  </si>
  <si>
    <t xml:space="preserve">0782206815</t>
  </si>
  <si>
    <t xml:space="preserve">0728393866</t>
  </si>
  <si>
    <t xml:space="preserve">thilini.abeysekara177@studentmail.example.lk</t>
  </si>
  <si>
    <t xml:space="preserve">STU0178</t>
  </si>
  <si>
    <t xml:space="preserve">2019/3584</t>
  </si>
  <si>
    <t xml:space="preserve">Tharushi Niyas</t>
  </si>
  <si>
    <t xml:space="preserve">No. 218, Temple Lane, Negombo</t>
  </si>
  <si>
    <t xml:space="preserve">0720997683</t>
  </si>
  <si>
    <t xml:space="preserve">0769030914</t>
  </si>
  <si>
    <t xml:space="preserve">tharushi.niyas178@studentmail.example.lk</t>
  </si>
  <si>
    <t xml:space="preserve">STU0179</t>
  </si>
  <si>
    <t xml:space="preserve">2019/4074</t>
  </si>
  <si>
    <t xml:space="preserve">Geethma Fernando</t>
  </si>
  <si>
    <t xml:space="preserve">No. 233, Kotte Road, Gampaha</t>
  </si>
  <si>
    <t xml:space="preserve">0766852701</t>
  </si>
  <si>
    <t xml:space="preserve">Sithum Fernando</t>
  </si>
  <si>
    <t xml:space="preserve">0787130232</t>
  </si>
  <si>
    <t xml:space="preserve">geethma.fernando179@studentmail.example.lk</t>
  </si>
  <si>
    <t xml:space="preserve">STU0180</t>
  </si>
  <si>
    <t xml:space="preserve">2018/3069</t>
  </si>
  <si>
    <t xml:space="preserve">Damith Murugesu</t>
  </si>
  <si>
    <t xml:space="preserve">No. 98, Station Road, Negombo</t>
  </si>
  <si>
    <t xml:space="preserve">0784982824</t>
  </si>
  <si>
    <t xml:space="preserve">Dinithi Murugesu</t>
  </si>
  <si>
    <t xml:space="preserve">0757474689</t>
  </si>
  <si>
    <t xml:space="preserve">damith.murugesu180@studentmail.example.lk</t>
  </si>
  <si>
    <t xml:space="preserve">STU0181</t>
  </si>
  <si>
    <t xml:space="preserve">2017/3600</t>
  </si>
  <si>
    <t xml:space="preserve">Sachin Velauthapillai</t>
  </si>
  <si>
    <t xml:space="preserve">No. 63, Temple Lane, Colombo</t>
  </si>
  <si>
    <t xml:space="preserve">0785024972</t>
  </si>
  <si>
    <t xml:space="preserve">Nadeesha Velauthapillai</t>
  </si>
  <si>
    <t xml:space="preserve">0723992011</t>
  </si>
  <si>
    <t xml:space="preserve">sachin.velauthapillai181@studentmail.example.lk</t>
  </si>
  <si>
    <t xml:space="preserve">STU0182</t>
  </si>
  <si>
    <t xml:space="preserve">2020/4809</t>
  </si>
  <si>
    <t xml:space="preserve">Ishara Wickramasinghe</t>
  </si>
  <si>
    <t xml:space="preserve">No. 25, Kandy Road, Galle</t>
  </si>
  <si>
    <t xml:space="preserve">0766462252</t>
  </si>
  <si>
    <t xml:space="preserve">Sandun Wickramasinghe</t>
  </si>
  <si>
    <t xml:space="preserve">0772372817</t>
  </si>
  <si>
    <t xml:space="preserve">ishara.wickramasinghe182@studentmail.example.lk</t>
  </si>
  <si>
    <t xml:space="preserve">STU0183</t>
  </si>
  <si>
    <t xml:space="preserve">2016/3725</t>
  </si>
  <si>
    <t xml:space="preserve">Vishwa Naufer</t>
  </si>
  <si>
    <t xml:space="preserve">No. 2, Station Road, Ratnapura</t>
  </si>
  <si>
    <t xml:space="preserve">0764775965</t>
  </si>
  <si>
    <t xml:space="preserve">Thisara Naufer</t>
  </si>
  <si>
    <t xml:space="preserve">0725535669</t>
  </si>
  <si>
    <t xml:space="preserve">vishwa.naufer183@studentmail.example.lk</t>
  </si>
  <si>
    <t xml:space="preserve">STU0184</t>
  </si>
  <si>
    <t xml:space="preserve">2015/3776</t>
  </si>
  <si>
    <t xml:space="preserve">Kasun Pathirana</t>
  </si>
  <si>
    <t xml:space="preserve">No. 90, Station Road, Matara</t>
  </si>
  <si>
    <t xml:space="preserve">0771649328</t>
  </si>
  <si>
    <t xml:space="preserve">Tharaki Pathirana</t>
  </si>
  <si>
    <t xml:space="preserve">0768027148</t>
  </si>
  <si>
    <t xml:space="preserve">kasun.pathirana184@studentmail.example.lk</t>
  </si>
  <si>
    <t xml:space="preserve">STU0185</t>
  </si>
  <si>
    <t xml:space="preserve">2016/3637</t>
  </si>
  <si>
    <t xml:space="preserve">Suresh Naufer</t>
  </si>
  <si>
    <t xml:space="preserve">No. 30, Highlevel Road, Negombo</t>
  </si>
  <si>
    <t xml:space="preserve">0711593195</t>
  </si>
  <si>
    <t xml:space="preserve">Gayan Naufer</t>
  </si>
  <si>
    <t xml:space="preserve">0705690409</t>
  </si>
  <si>
    <t xml:space="preserve">suresh.naufer185@studentmail.example.lk</t>
  </si>
  <si>
    <t xml:space="preserve">STU0186</t>
  </si>
  <si>
    <t xml:space="preserve">2020/2120</t>
  </si>
  <si>
    <t xml:space="preserve">Sachini Fernando</t>
  </si>
  <si>
    <t xml:space="preserve">No. 16, Baseline Road, Kandy</t>
  </si>
  <si>
    <t xml:space="preserve">0783302764</t>
  </si>
  <si>
    <t xml:space="preserve">Oshadi Fernando</t>
  </si>
  <si>
    <t xml:space="preserve">0782086567</t>
  </si>
  <si>
    <t xml:space="preserve">sachini.fernando186@studentmail.example.lk</t>
  </si>
  <si>
    <t xml:space="preserve">STU0187</t>
  </si>
  <si>
    <t xml:space="preserve">2017/3778</t>
  </si>
  <si>
    <t xml:space="preserve">Kavishka Wijesinghe</t>
  </si>
  <si>
    <t xml:space="preserve">No. 44, Galle Road, Negombo</t>
  </si>
  <si>
    <t xml:space="preserve">0727201859</t>
  </si>
  <si>
    <t xml:space="preserve">Nadeesha Wijesinghe</t>
  </si>
  <si>
    <t xml:space="preserve">0752630136</t>
  </si>
  <si>
    <t xml:space="preserve">kavishka.wijesinghe187@studentmail.example.lk</t>
  </si>
  <si>
    <t xml:space="preserve">STU0188</t>
  </si>
  <si>
    <t xml:space="preserve">2018/2222</t>
  </si>
  <si>
    <t xml:space="preserve">Tharushi Ranasinghe</t>
  </si>
  <si>
    <t xml:space="preserve">No. 221, Park Avenue, Kandy</t>
  </si>
  <si>
    <t xml:space="preserve">0750688871</t>
  </si>
  <si>
    <t xml:space="preserve">Janith Ranasinghe</t>
  </si>
  <si>
    <t xml:space="preserve">0769813129</t>
  </si>
  <si>
    <t xml:space="preserve">tharushi.ranasinghe188@studentmail.example.lk</t>
  </si>
  <si>
    <t xml:space="preserve">STU0189</t>
  </si>
  <si>
    <t xml:space="preserve">2018/3817</t>
  </si>
  <si>
    <t xml:space="preserve">Kavindi Naufer</t>
  </si>
  <si>
    <t xml:space="preserve">0768395429</t>
  </si>
  <si>
    <t xml:space="preserve">Chamara Naufer</t>
  </si>
  <si>
    <t xml:space="preserve">0751844626</t>
  </si>
  <si>
    <t xml:space="preserve">kavindi.naufer189@studentmail.example.lk</t>
  </si>
  <si>
    <t xml:space="preserve">STU0190</t>
  </si>
  <si>
    <t xml:space="preserve">2016/3801</t>
  </si>
  <si>
    <t xml:space="preserve">Hiruni Abeysekara</t>
  </si>
  <si>
    <t xml:space="preserve">No. 233, Baseline Road, Kalutara</t>
  </si>
  <si>
    <t xml:space="preserve">0703401636</t>
  </si>
  <si>
    <t xml:space="preserve">Fathima Rinosa Abeysekara</t>
  </si>
  <si>
    <t xml:space="preserve">0711284971</t>
  </si>
  <si>
    <t xml:space="preserve">hiruni.abeysekara190@studentmail.example.lk</t>
  </si>
  <si>
    <t xml:space="preserve">STU0191</t>
  </si>
  <si>
    <t xml:space="preserve">2017/2797</t>
  </si>
  <si>
    <t xml:space="preserve">Nethmi Kandasamy</t>
  </si>
  <si>
    <t xml:space="preserve">No. 242, Kotte Road, Kalutara</t>
  </si>
  <si>
    <t xml:space="preserve">0771465111</t>
  </si>
  <si>
    <t xml:space="preserve">Aravinth Careem</t>
  </si>
  <si>
    <t xml:space="preserve">0773129014</t>
  </si>
  <si>
    <t xml:space="preserve">nethmi.kandasamy191@studentmail.example.lk</t>
  </si>
  <si>
    <t xml:space="preserve">STU0192</t>
  </si>
  <si>
    <t xml:space="preserve">2018/2731</t>
  </si>
  <si>
    <t xml:space="preserve">Ravindu Bandara</t>
  </si>
  <si>
    <t xml:space="preserve">No. 174, Kotte Road, Kegalle</t>
  </si>
  <si>
    <t xml:space="preserve">0781447443</t>
  </si>
  <si>
    <t xml:space="preserve">Bhanuka Bandara</t>
  </si>
  <si>
    <t xml:space="preserve">0719634807</t>
  </si>
  <si>
    <t xml:space="preserve">ravindu.bandara192@studentmail.example.lk</t>
  </si>
  <si>
    <t xml:space="preserve">STU0193</t>
  </si>
  <si>
    <t xml:space="preserve">2015/1028</t>
  </si>
  <si>
    <t xml:space="preserve">Priyanka Senanayake</t>
  </si>
  <si>
    <t xml:space="preserve">No. 77, Baseline Road, Galle</t>
  </si>
  <si>
    <t xml:space="preserve">0708417722</t>
  </si>
  <si>
    <t xml:space="preserve">Yashodha Senanayake</t>
  </si>
  <si>
    <t xml:space="preserve">0726053134</t>
  </si>
  <si>
    <t xml:space="preserve">priyanka.senanayake193@studentmail.example.lk</t>
  </si>
  <si>
    <t xml:space="preserve">STU0194</t>
  </si>
  <si>
    <t xml:space="preserve">2016/4143</t>
  </si>
  <si>
    <t xml:space="preserve">No. 112, Temple Lane, Kalutara</t>
  </si>
  <si>
    <t xml:space="preserve">0727163928</t>
  </si>
  <si>
    <t xml:space="preserve">Nadeesha Perera</t>
  </si>
  <si>
    <t xml:space="preserve">0703414363</t>
  </si>
  <si>
    <t xml:space="preserve">nipun.wickramasinghe194@studentmail.example.lk</t>
  </si>
  <si>
    <t xml:space="preserve">STU0195</t>
  </si>
  <si>
    <t xml:space="preserve">2020/1908</t>
  </si>
  <si>
    <t xml:space="preserve">Isuru Thillainathan</t>
  </si>
  <si>
    <t xml:space="preserve">No. 78, Kandy Road, Kalutara</t>
  </si>
  <si>
    <t xml:space="preserve">0724563502</t>
  </si>
  <si>
    <t xml:space="preserve">0710053474</t>
  </si>
  <si>
    <t xml:space="preserve">isuru.thillainathan195@studentmail.example.lk</t>
  </si>
  <si>
    <t xml:space="preserve">STU0196</t>
  </si>
  <si>
    <t xml:space="preserve">2016/1168</t>
  </si>
  <si>
    <t xml:space="preserve">Kuganesan Sivakumar</t>
  </si>
  <si>
    <t xml:space="preserve">No. 242, Park Avenue, Ratnapura</t>
  </si>
  <si>
    <t xml:space="preserve">0724738202</t>
  </si>
  <si>
    <t xml:space="preserve">Anjali Bandara</t>
  </si>
  <si>
    <t xml:space="preserve">0706848557</t>
  </si>
  <si>
    <t xml:space="preserve">kuganesan.sivakumar196@studentmail.example.lk</t>
  </si>
  <si>
    <t xml:space="preserve">STU0197</t>
  </si>
  <si>
    <t xml:space="preserve">2019/2641</t>
  </si>
  <si>
    <t xml:space="preserve">Ashen Rajendran</t>
  </si>
  <si>
    <t xml:space="preserve">No. 152, Galle Road, Kegalle</t>
  </si>
  <si>
    <t xml:space="preserve">0758844344</t>
  </si>
  <si>
    <t xml:space="preserve">Kasun Rajendran</t>
  </si>
  <si>
    <t xml:space="preserve">0761230834</t>
  </si>
  <si>
    <t xml:space="preserve">ashen.rajendran197@studentmail.example.lk</t>
  </si>
  <si>
    <t xml:space="preserve">STU0198</t>
  </si>
  <si>
    <t xml:space="preserve">2017/3959</t>
  </si>
  <si>
    <t xml:space="preserve">Senuri Gamage</t>
  </si>
  <si>
    <t xml:space="preserve">No. 142, Kotte Road, Matara</t>
  </si>
  <si>
    <t xml:space="preserve">0705439627</t>
  </si>
  <si>
    <t xml:space="preserve">Kalpana Gamage</t>
  </si>
  <si>
    <t xml:space="preserve">0706527172</t>
  </si>
  <si>
    <t xml:space="preserve">senuri.gamage198@studentmail.example.lk</t>
  </si>
  <si>
    <t xml:space="preserve">STU0199</t>
  </si>
  <si>
    <t xml:space="preserve">2019/4127</t>
  </si>
  <si>
    <t xml:space="preserve">Kasun Wickramasinghe</t>
  </si>
  <si>
    <t xml:space="preserve">No. 69, Negombo Road, Ratnapura</t>
  </si>
  <si>
    <t xml:space="preserve">0710185132</t>
  </si>
  <si>
    <t xml:space="preserve">Sithum Wickramasinghe</t>
  </si>
  <si>
    <t xml:space="preserve">0759724572</t>
  </si>
  <si>
    <t xml:space="preserve">kasun.wickramasinghe199@studentmail.example.lk</t>
  </si>
  <si>
    <t xml:space="preserve">STU0200</t>
  </si>
  <si>
    <t xml:space="preserve">2017/3014</t>
  </si>
  <si>
    <t xml:space="preserve">Hashan Rathnayake</t>
  </si>
  <si>
    <t xml:space="preserve">No. 92, Kandy Road, Ratnapura</t>
  </si>
  <si>
    <t xml:space="preserve">0721510922</t>
  </si>
  <si>
    <t xml:space="preserve">Kavishka Rathnayake</t>
  </si>
  <si>
    <t xml:space="preserve">0758592624</t>
  </si>
  <si>
    <t xml:space="preserve">hashan.rathnayake200@studentmail.example.lk</t>
  </si>
  <si>
    <t xml:space="preserve">STU0201</t>
  </si>
  <si>
    <t xml:space="preserve">2015/2444</t>
  </si>
  <si>
    <t xml:space="preserve">Dinithi Dissanayake</t>
  </si>
  <si>
    <t xml:space="preserve">No. 163, Baseline Road, Kandy</t>
  </si>
  <si>
    <t xml:space="preserve">0783668788</t>
  </si>
  <si>
    <t xml:space="preserve">Kavindi Dissanayake</t>
  </si>
  <si>
    <t xml:space="preserve">0758836196</t>
  </si>
  <si>
    <t xml:space="preserve">dinithi.dissanayake201@studentmail.example.lk</t>
  </si>
  <si>
    <t xml:space="preserve">STU0202</t>
  </si>
  <si>
    <t xml:space="preserve">2018/2953</t>
  </si>
  <si>
    <t xml:space="preserve">Hiruni Velauthapillai</t>
  </si>
  <si>
    <t xml:space="preserve">No. 21, Kotte Road, Negombo</t>
  </si>
  <si>
    <t xml:space="preserve">0719622728</t>
  </si>
  <si>
    <t xml:space="preserve">Nadeesh Velauthapillai</t>
  </si>
  <si>
    <t xml:space="preserve">0774765704</t>
  </si>
  <si>
    <t xml:space="preserve">hiruni.velauthapillai202@studentmail.example.lk</t>
  </si>
  <si>
    <t xml:space="preserve">STU0203</t>
  </si>
  <si>
    <t xml:space="preserve">2018/4043</t>
  </si>
  <si>
    <t xml:space="preserve">Thisara Kumara</t>
  </si>
  <si>
    <t xml:space="preserve">No. 191, Park Avenue, Ratnapura</t>
  </si>
  <si>
    <t xml:space="preserve">0781775662</t>
  </si>
  <si>
    <t xml:space="preserve">Tharushi Kumara</t>
  </si>
  <si>
    <t xml:space="preserve">0715634111</t>
  </si>
  <si>
    <t xml:space="preserve">thisara.kumara203@studentmail.example.lk</t>
  </si>
  <si>
    <t xml:space="preserve">STU0204</t>
  </si>
  <si>
    <t xml:space="preserve">2015/1187</t>
  </si>
  <si>
    <t xml:space="preserve">Akila Gamage</t>
  </si>
  <si>
    <t xml:space="preserve">No. 246, Station Road, Kegalle</t>
  </si>
  <si>
    <t xml:space="preserve">0705652156</t>
  </si>
  <si>
    <t xml:space="preserve">Nuwan Rathnayake</t>
  </si>
  <si>
    <t xml:space="preserve">0778182096</t>
  </si>
  <si>
    <t xml:space="preserve">akila.gamage204@studentmail.example.lk</t>
  </si>
  <si>
    <t xml:space="preserve">STU0205</t>
  </si>
  <si>
    <t xml:space="preserve">2017/1979</t>
  </si>
  <si>
    <t xml:space="preserve">Sandun Rathnayake</t>
  </si>
  <si>
    <t xml:space="preserve">No. 128, Kandy Road, Colombo</t>
  </si>
  <si>
    <t xml:space="preserve">0704817175</t>
  </si>
  <si>
    <t xml:space="preserve">Niluka Rathnayake</t>
  </si>
  <si>
    <t xml:space="preserve">0704214955</t>
  </si>
  <si>
    <t xml:space="preserve">sandun.rathnayake205@studentmail.example.lk</t>
  </si>
  <si>
    <t xml:space="preserve">STU0206</t>
  </si>
  <si>
    <t xml:space="preserve">2019/1913</t>
  </si>
  <si>
    <t xml:space="preserve">Sahan Rathnayake</t>
  </si>
  <si>
    <t xml:space="preserve">No. 165, Park Avenue, Matara</t>
  </si>
  <si>
    <t xml:space="preserve">0711216636</t>
  </si>
  <si>
    <t xml:space="preserve">Sanduni Rathnayake</t>
  </si>
  <si>
    <t xml:space="preserve">0721559737</t>
  </si>
  <si>
    <t xml:space="preserve">sahan.rathnayake206@studentmail.example.lk</t>
  </si>
  <si>
    <t xml:space="preserve">STU0207</t>
  </si>
  <si>
    <t xml:space="preserve">2018/1580</t>
  </si>
  <si>
    <t xml:space="preserve">Riyas Naleem Velauthapillai</t>
  </si>
  <si>
    <t xml:space="preserve">No. 224, Station Road, Kegalle</t>
  </si>
  <si>
    <t xml:space="preserve">0704201654</t>
  </si>
  <si>
    <t xml:space="preserve">Selvam Rajendran</t>
  </si>
  <si>
    <t xml:space="preserve">0703567782</t>
  </si>
  <si>
    <t xml:space="preserve">riyas.velauthapillai207@studentmail.example.lk</t>
  </si>
  <si>
    <t xml:space="preserve">STU0208</t>
  </si>
  <si>
    <t xml:space="preserve">2020/2721</t>
  </si>
  <si>
    <t xml:space="preserve">Kavindi Rajendran</t>
  </si>
  <si>
    <t xml:space="preserve">No. 249, Lake Drive, Colombo</t>
  </si>
  <si>
    <t xml:space="preserve">0725044817</t>
  </si>
  <si>
    <t xml:space="preserve">Thisara Rajendran</t>
  </si>
  <si>
    <t xml:space="preserve">0777665586</t>
  </si>
  <si>
    <t xml:space="preserve">kavindi.rajendran208@studentmail.example.lk</t>
  </si>
  <si>
    <t xml:space="preserve">STU0209</t>
  </si>
  <si>
    <t xml:space="preserve">2018/3259</t>
  </si>
  <si>
    <t xml:space="preserve">Imran Naufer Rathnayake</t>
  </si>
  <si>
    <t xml:space="preserve">No. 204, Temple Lane, Galle</t>
  </si>
  <si>
    <t xml:space="preserve">0786053844</t>
  </si>
  <si>
    <t xml:space="preserve">Akila Rathnayake</t>
  </si>
  <si>
    <t xml:space="preserve">0774463060</t>
  </si>
  <si>
    <t xml:space="preserve">imran.rathnayake209@studentmail.example.lk</t>
  </si>
  <si>
    <t xml:space="preserve">STU0210</t>
  </si>
  <si>
    <t xml:space="preserve">2017/2791</t>
  </si>
  <si>
    <t xml:space="preserve">Mohamed Riza Sivakumar</t>
  </si>
  <si>
    <t xml:space="preserve">No. 101, Highlevel Road, Kegalle</t>
  </si>
  <si>
    <t xml:space="preserve">0705311060</t>
  </si>
  <si>
    <t xml:space="preserve">Kalpana Sivakumar</t>
  </si>
  <si>
    <t xml:space="preserve">0779209819</t>
  </si>
  <si>
    <t xml:space="preserve">mohamed.sivakumar210@studentmail.example.lk</t>
  </si>
  <si>
    <t xml:space="preserve">STU0211</t>
  </si>
  <si>
    <t xml:space="preserve">2019/2073</t>
  </si>
  <si>
    <t xml:space="preserve">Nipun Mohamed</t>
  </si>
  <si>
    <t xml:space="preserve">No. 101, Kandy Road, Matara</t>
  </si>
  <si>
    <t xml:space="preserve">0780617136</t>
  </si>
  <si>
    <t xml:space="preserve">Oshadi Mohamed</t>
  </si>
  <si>
    <t xml:space="preserve">0755722402</t>
  </si>
  <si>
    <t xml:space="preserve">nipun.mohamed211@studentmail.example.lk</t>
  </si>
  <si>
    <t xml:space="preserve">STU0212</t>
  </si>
  <si>
    <t xml:space="preserve">2017/2096</t>
  </si>
  <si>
    <t xml:space="preserve">Nuwan Pathirana</t>
  </si>
  <si>
    <t xml:space="preserve">No. 167, Highlevel Road, Matara</t>
  </si>
  <si>
    <t xml:space="preserve">0777686342</t>
  </si>
  <si>
    <t xml:space="preserve">Sanduni Pathirana</t>
  </si>
  <si>
    <t xml:space="preserve">0704619942</t>
  </si>
  <si>
    <t xml:space="preserve">nuwan.pathirana212@studentmail.example.lk</t>
  </si>
  <si>
    <t xml:space="preserve">STU0213</t>
  </si>
  <si>
    <t xml:space="preserve">2019/1881</t>
  </si>
  <si>
    <t xml:space="preserve">No. 82, Galle Road, Kurunegala</t>
  </si>
  <si>
    <t xml:space="preserve">0707953816</t>
  </si>
  <si>
    <t xml:space="preserve">Mohamed Riza Pathirana</t>
  </si>
  <si>
    <t xml:space="preserve">0729383184</t>
  </si>
  <si>
    <t xml:space="preserve">ravindu.pathirana213@studentmail.example.lk</t>
  </si>
  <si>
    <t xml:space="preserve">STU0214</t>
  </si>
  <si>
    <t xml:space="preserve">2017/4734</t>
  </si>
  <si>
    <t xml:space="preserve">Fathima Rinosa Sivakumar</t>
  </si>
  <si>
    <t xml:space="preserve">No. 11, Baseline Road, Colombo</t>
  </si>
  <si>
    <t xml:space="preserve">0717164455</t>
  </si>
  <si>
    <t xml:space="preserve">0751857906</t>
  </si>
  <si>
    <t xml:space="preserve">fathima.sivakumar214@studentmail.example.lk</t>
  </si>
  <si>
    <t xml:space="preserve">STU0215</t>
  </si>
  <si>
    <t xml:space="preserve">2017/2105</t>
  </si>
  <si>
    <t xml:space="preserve">Nipun Jayasinghe</t>
  </si>
  <si>
    <t xml:space="preserve">No. 221, Negombo Road, Ratnapura</t>
  </si>
  <si>
    <t xml:space="preserve">0786718839</t>
  </si>
  <si>
    <t xml:space="preserve">Akila Jayasinghe</t>
  </si>
  <si>
    <t xml:space="preserve">0757457314</t>
  </si>
  <si>
    <t xml:space="preserve">nipun.jayasinghe215@studentmail.example.lk</t>
  </si>
  <si>
    <t xml:space="preserve">STU0216</t>
  </si>
  <si>
    <t xml:space="preserve">2016/2579</t>
  </si>
  <si>
    <t xml:space="preserve">No. 109, Negombo Road, Kalutara</t>
  </si>
  <si>
    <t xml:space="preserve">0789127113</t>
  </si>
  <si>
    <t xml:space="preserve">Isuru Mohamed</t>
  </si>
  <si>
    <t xml:space="preserve">0717240787</t>
  </si>
  <si>
    <t xml:space="preserve">oshadi.mohamed216@studentmail.example.lk</t>
  </si>
  <si>
    <t xml:space="preserve">STU0217</t>
  </si>
  <si>
    <t xml:space="preserve">2019/3124</t>
  </si>
  <si>
    <t xml:space="preserve">Mihiran Ranasinghe</t>
  </si>
  <si>
    <t xml:space="preserve">No. 230, Galle Road, Ratnapura</t>
  </si>
  <si>
    <t xml:space="preserve">0723181439</t>
  </si>
  <si>
    <t xml:space="preserve">Bhanuka Ranasinghe</t>
  </si>
  <si>
    <t xml:space="preserve">0776661347</t>
  </si>
  <si>
    <t xml:space="preserve">mihiran.ranasinghe217@studentmail.example.lk</t>
  </si>
  <si>
    <t xml:space="preserve">STU0218</t>
  </si>
  <si>
    <t xml:space="preserve">2017/2752</t>
  </si>
  <si>
    <t xml:space="preserve">Ashen Ranasinghe</t>
  </si>
  <si>
    <t xml:space="preserve">No. 195, Galle Road, Ratnapura</t>
  </si>
  <si>
    <t xml:space="preserve">0727907371</t>
  </si>
  <si>
    <t xml:space="preserve">Dinusha Ranasinghe</t>
  </si>
  <si>
    <t xml:space="preserve">0710943882</t>
  </si>
  <si>
    <t xml:space="preserve">ashen.ranasinghe218@studentmail.example.lk</t>
  </si>
  <si>
    <t xml:space="preserve">STU0219</t>
  </si>
  <si>
    <t xml:space="preserve">2020/1605</t>
  </si>
  <si>
    <t xml:space="preserve">Oshadi Madushanka</t>
  </si>
  <si>
    <t xml:space="preserve">No. 148, Station Road, Kurunegala</t>
  </si>
  <si>
    <t xml:space="preserve">0701361487</t>
  </si>
  <si>
    <t xml:space="preserve">Hiruni Madushanka</t>
  </si>
  <si>
    <t xml:space="preserve">0762455696</t>
  </si>
  <si>
    <t xml:space="preserve">oshadi.madushanka219@studentmail.example.lk</t>
  </si>
  <si>
    <t xml:space="preserve">STU0220</t>
  </si>
  <si>
    <t xml:space="preserve">2017/1063</t>
  </si>
  <si>
    <t xml:space="preserve">Risma Nawfar Kumara</t>
  </si>
  <si>
    <t xml:space="preserve">No. 126, Highlevel Road, Colombo</t>
  </si>
  <si>
    <t xml:space="preserve">0755004254</t>
  </si>
  <si>
    <t xml:space="preserve">Priyanka Kumara</t>
  </si>
  <si>
    <t xml:space="preserve">0788821423</t>
  </si>
  <si>
    <t xml:space="preserve">risma.kumara220@studentmail.example.lk</t>
  </si>
  <si>
    <t xml:space="preserve">STU0221</t>
  </si>
  <si>
    <t xml:space="preserve">2019/2217</t>
  </si>
  <si>
    <t xml:space="preserve">Yohan Mendis</t>
  </si>
  <si>
    <t xml:space="preserve">No. 214, Station Road, Negombo</t>
  </si>
  <si>
    <t xml:space="preserve">0708758575</t>
  </si>
  <si>
    <t xml:space="preserve">Chathurika Mendis</t>
  </si>
  <si>
    <t xml:space="preserve">0757667080</t>
  </si>
  <si>
    <t xml:space="preserve">yohan.mendis221@studentmail.example.lk</t>
  </si>
  <si>
    <t xml:space="preserve">STU0222</t>
  </si>
  <si>
    <t xml:space="preserve">2015/3434</t>
  </si>
  <si>
    <t xml:space="preserve">No. 190, Lake Drive, Kegalle</t>
  </si>
  <si>
    <t xml:space="preserve">0770382872</t>
  </si>
  <si>
    <t xml:space="preserve">Imran Naufer Rajapaksa</t>
  </si>
  <si>
    <t xml:space="preserve">0702440793</t>
  </si>
  <si>
    <t xml:space="preserve">nethmi.gunawardena222@studentmail.example.lk</t>
  </si>
  <si>
    <t xml:space="preserve">STU0223</t>
  </si>
  <si>
    <t xml:space="preserve">2017/1699</t>
  </si>
  <si>
    <t xml:space="preserve">Sachini Silva</t>
  </si>
  <si>
    <t xml:space="preserve">No. 171, Kandy Road, Ratnapura</t>
  </si>
  <si>
    <t xml:space="preserve">0755466176</t>
  </si>
  <si>
    <t xml:space="preserve">Dinithi Silva</t>
  </si>
  <si>
    <t xml:space="preserve">0786204719</t>
  </si>
  <si>
    <t xml:space="preserve">sachini.silva223@studentmail.example.lk</t>
  </si>
  <si>
    <t xml:space="preserve">STU0224</t>
  </si>
  <si>
    <t xml:space="preserve">2018/4782</t>
  </si>
  <si>
    <t xml:space="preserve">Hashan Madushanka</t>
  </si>
  <si>
    <t xml:space="preserve">No. 47, Lake Drive, Kegalle</t>
  </si>
  <si>
    <t xml:space="preserve">0788425995</t>
  </si>
  <si>
    <t xml:space="preserve">Yashodha Madushanka</t>
  </si>
  <si>
    <t xml:space="preserve">0769610023</t>
  </si>
  <si>
    <t xml:space="preserve">hashan.madushanka224@studentmail.example.lk</t>
  </si>
  <si>
    <t xml:space="preserve">STU0225</t>
  </si>
  <si>
    <t xml:space="preserve">2016/2546</t>
  </si>
  <si>
    <t xml:space="preserve">Aysha Nimna Silva</t>
  </si>
  <si>
    <t xml:space="preserve">No. 174, Highlevel Road, Gampaha</t>
  </si>
  <si>
    <t xml:space="preserve">0702683190</t>
  </si>
  <si>
    <t xml:space="preserve">Lakshan Silva</t>
  </si>
  <si>
    <t xml:space="preserve">0771302056</t>
  </si>
  <si>
    <t xml:space="preserve">aysha.silva225@studentmail.example.lk</t>
  </si>
  <si>
    <t xml:space="preserve">STU0226</t>
  </si>
  <si>
    <t xml:space="preserve">2016/1944</t>
  </si>
  <si>
    <t xml:space="preserve">No. 75, Highlevel Road, Galle</t>
  </si>
  <si>
    <t xml:space="preserve">0775124189</t>
  </si>
  <si>
    <t xml:space="preserve">Charith Gunawardena</t>
  </si>
  <si>
    <t xml:space="preserve">0708984690</t>
  </si>
  <si>
    <t xml:space="preserve">chathurika.gunawardena226@studentmail.example.lk</t>
  </si>
  <si>
    <t xml:space="preserve">STU0227</t>
  </si>
  <si>
    <t xml:space="preserve">2019/2416</t>
  </si>
  <si>
    <t xml:space="preserve">Nethmi Abeysekara</t>
  </si>
  <si>
    <t xml:space="preserve">No. 34, Highlevel Road, Colombo</t>
  </si>
  <si>
    <t xml:space="preserve">0710783567</t>
  </si>
  <si>
    <t xml:space="preserve">Sithara Abeysekara</t>
  </si>
  <si>
    <t xml:space="preserve">0723000389</t>
  </si>
  <si>
    <t xml:space="preserve">nethmi.abeysekara227@studentmail.example.lk</t>
  </si>
  <si>
    <t xml:space="preserve">STU0228</t>
  </si>
  <si>
    <t xml:space="preserve">2020/4328</t>
  </si>
  <si>
    <t xml:space="preserve">Bhanuka Thillainathan</t>
  </si>
  <si>
    <t xml:space="preserve">No. 81, Baseline Road, Ratnapura</t>
  </si>
  <si>
    <t xml:space="preserve">0773429671</t>
  </si>
  <si>
    <t xml:space="preserve">Thilini Thillainathan</t>
  </si>
  <si>
    <t xml:space="preserve">0771148375</t>
  </si>
  <si>
    <t xml:space="preserve">bhanuka.thillainathan228@studentmail.example.lk</t>
  </si>
  <si>
    <t xml:space="preserve">STU0229</t>
  </si>
  <si>
    <t xml:space="preserve">2018/1146</t>
  </si>
  <si>
    <t xml:space="preserve">Praveen Karunaratne</t>
  </si>
  <si>
    <t xml:space="preserve">No. 215, Galle Road, Kalutara</t>
  </si>
  <si>
    <t xml:space="preserve">0729641049</t>
  </si>
  <si>
    <t xml:space="preserve">Bhanuka Karunaratne</t>
  </si>
  <si>
    <t xml:space="preserve">0757066703</t>
  </si>
  <si>
    <t xml:space="preserve">praveen.karunaratne229@studentmail.example.lk</t>
  </si>
  <si>
    <t xml:space="preserve">STU0230</t>
  </si>
  <si>
    <t xml:space="preserve">2019/4516</t>
  </si>
  <si>
    <t xml:space="preserve">Nethmi Wickramasinghe</t>
  </si>
  <si>
    <t xml:space="preserve">No. 42, Station Road, Matara</t>
  </si>
  <si>
    <t xml:space="preserve">0773204413</t>
  </si>
  <si>
    <t xml:space="preserve">0788459609</t>
  </si>
  <si>
    <t xml:space="preserve">nethmi.wickramasinghe230@studentmail.example.lk</t>
  </si>
  <si>
    <t xml:space="preserve">STU0231</t>
  </si>
  <si>
    <t xml:space="preserve">2015/2063</t>
  </si>
  <si>
    <t xml:space="preserve">Risma Nawfar Pathirana</t>
  </si>
  <si>
    <t xml:space="preserve">No. 224, Lake Drive, Colombo</t>
  </si>
  <si>
    <t xml:space="preserve">0701028795</t>
  </si>
  <si>
    <t xml:space="preserve">Kalpana Pathirana</t>
  </si>
  <si>
    <t xml:space="preserve">0718304405</t>
  </si>
  <si>
    <t xml:space="preserve">risma.pathirana231@studentmail.example.lk</t>
  </si>
  <si>
    <t xml:space="preserve">STU0232</t>
  </si>
  <si>
    <t xml:space="preserve">2017/2927</t>
  </si>
  <si>
    <t xml:space="preserve">No. 75, Negombo Road, Ratnapura</t>
  </si>
  <si>
    <t xml:space="preserve">0711935889</t>
  </si>
  <si>
    <t xml:space="preserve">Vihanga Silva</t>
  </si>
  <si>
    <t xml:space="preserve">0775369026</t>
  </si>
  <si>
    <t xml:space="preserve">sachini.silva232@studentmail.example.lk</t>
  </si>
  <si>
    <t xml:space="preserve">STU0233</t>
  </si>
  <si>
    <t xml:space="preserve">2016/4064</t>
  </si>
  <si>
    <t xml:space="preserve">Imesha Madushanka</t>
  </si>
  <si>
    <t xml:space="preserve">No. 91, Park Avenue, Kegalle</t>
  </si>
  <si>
    <t xml:space="preserve">0715793763</t>
  </si>
  <si>
    <t xml:space="preserve">Kavindi Madushanka</t>
  </si>
  <si>
    <t xml:space="preserve">0762836929</t>
  </si>
  <si>
    <t xml:space="preserve">imesha.madushanka233@studentmail.example.lk</t>
  </si>
  <si>
    <t xml:space="preserve">STU0234</t>
  </si>
  <si>
    <t xml:space="preserve">2016/4703</t>
  </si>
  <si>
    <t xml:space="preserve">Thisara Silva</t>
  </si>
  <si>
    <t xml:space="preserve">No. 76, Kandy Road, Kurunegala</t>
  </si>
  <si>
    <t xml:space="preserve">0785999101</t>
  </si>
  <si>
    <t xml:space="preserve">Amaya Silva</t>
  </si>
  <si>
    <t xml:space="preserve">0775767647</t>
  </si>
  <si>
    <t xml:space="preserve">thisara.silva234@studentmail.example.lk</t>
  </si>
  <si>
    <t xml:space="preserve">STU0235</t>
  </si>
  <si>
    <t xml:space="preserve">2017/2168</t>
  </si>
  <si>
    <t xml:space="preserve">Tharushi Karunaratne</t>
  </si>
  <si>
    <t xml:space="preserve">No. 242, Kotte Road, Galle</t>
  </si>
  <si>
    <t xml:space="preserve">0764995154</t>
  </si>
  <si>
    <t xml:space="preserve">Nadeesh Karunaratne</t>
  </si>
  <si>
    <t xml:space="preserve">0701447732</t>
  </si>
  <si>
    <t xml:space="preserve">tharushi.karunaratne235@studentmail.example.lk</t>
  </si>
  <si>
    <t xml:space="preserve">STU0236</t>
  </si>
  <si>
    <t xml:space="preserve">2017/2820</t>
  </si>
  <si>
    <t xml:space="preserve">Niluka Careem</t>
  </si>
  <si>
    <t xml:space="preserve">No. 188, Kandy Road, Kurunegala</t>
  </si>
  <si>
    <t xml:space="preserve">0781315285</t>
  </si>
  <si>
    <t xml:space="preserve">0727815061</t>
  </si>
  <si>
    <t xml:space="preserve">niluka.careem236@studentmail.example.lk</t>
  </si>
  <si>
    <t xml:space="preserve">STU0237</t>
  </si>
  <si>
    <t xml:space="preserve">2020/3009</t>
  </si>
  <si>
    <t xml:space="preserve">No. 158, Station Road, Ratnapura</t>
  </si>
  <si>
    <t xml:space="preserve">0705782434</t>
  </si>
  <si>
    <t xml:space="preserve">Chamara Gunawardena</t>
  </si>
  <si>
    <t xml:space="preserve">0777769587</t>
  </si>
  <si>
    <t xml:space="preserve">mohamed.gunawardena237@studentmail.example.lk</t>
  </si>
  <si>
    <t xml:space="preserve">STU0238</t>
  </si>
  <si>
    <t xml:space="preserve">2018/3461</t>
  </si>
  <si>
    <t xml:space="preserve">No. 56, Station Road, Colombo</t>
  </si>
  <si>
    <t xml:space="preserve">0765456676</t>
  </si>
  <si>
    <t xml:space="preserve">0754047350</t>
  </si>
  <si>
    <t xml:space="preserve">madushani.selvarajah238@studentmail.example.lk</t>
  </si>
  <si>
    <t xml:space="preserve">STU0239</t>
  </si>
  <si>
    <t xml:space="preserve">2016/2693</t>
  </si>
  <si>
    <t xml:space="preserve">Suresh Murugesu</t>
  </si>
  <si>
    <t xml:space="preserve">No. 194, Park Avenue, Negombo</t>
  </si>
  <si>
    <t xml:space="preserve">0766702440</t>
  </si>
  <si>
    <t xml:space="preserve">Chamara Murugesu</t>
  </si>
  <si>
    <t xml:space="preserve">0703041662</t>
  </si>
  <si>
    <t xml:space="preserve">suresh.murugesu239@studentmail.example.lk</t>
  </si>
  <si>
    <t xml:space="preserve">STU0240</t>
  </si>
  <si>
    <t xml:space="preserve">2018/2542</t>
  </si>
  <si>
    <t xml:space="preserve">Pasindu Gamage</t>
  </si>
  <si>
    <t xml:space="preserve">No. 124, Highlevel Road, Kegalle</t>
  </si>
  <si>
    <t xml:space="preserve">0763607658</t>
  </si>
  <si>
    <t xml:space="preserve">Kavindi Gamage</t>
  </si>
  <si>
    <t xml:space="preserve">0771739063</t>
  </si>
  <si>
    <t xml:space="preserve">pasindu.gamage240@studentmail.example.lk</t>
  </si>
  <si>
    <t xml:space="preserve">STU0241</t>
  </si>
  <si>
    <t xml:space="preserve">2019/2032</t>
  </si>
  <si>
    <t xml:space="preserve">Mihiran Hashim</t>
  </si>
  <si>
    <t xml:space="preserve">No. 224, Galle Road, Kalutara</t>
  </si>
  <si>
    <t xml:space="preserve">0773878753</t>
  </si>
  <si>
    <t xml:space="preserve">Chamara Hashim</t>
  </si>
  <si>
    <t xml:space="preserve">0727788116</t>
  </si>
  <si>
    <t xml:space="preserve">mihiran.hashim241@studentmail.example.lk</t>
  </si>
  <si>
    <t xml:space="preserve">STU0242</t>
  </si>
  <si>
    <t xml:space="preserve">2017/3309</t>
  </si>
  <si>
    <t xml:space="preserve">No. 206, Lake Drive, Kurunegala</t>
  </si>
  <si>
    <t xml:space="preserve">0769477352</t>
  </si>
  <si>
    <t xml:space="preserve">Vishaka Velauthapillai</t>
  </si>
  <si>
    <t xml:space="preserve">0708705622</t>
  </si>
  <si>
    <t xml:space="preserve">madushani.velauthapillai242@studentmail.example.lk</t>
  </si>
  <si>
    <t xml:space="preserve">STU0243</t>
  </si>
  <si>
    <t xml:space="preserve">2017/4361</t>
  </si>
  <si>
    <t xml:space="preserve">Shanika Karunaratne</t>
  </si>
  <si>
    <t xml:space="preserve">No. 104, Highlevel Road, Kegalle</t>
  </si>
  <si>
    <t xml:space="preserve">0763192134</t>
  </si>
  <si>
    <t xml:space="preserve">0704912896</t>
  </si>
  <si>
    <t xml:space="preserve">shanika.karunaratne243@studentmail.example.lk</t>
  </si>
  <si>
    <t xml:space="preserve">STU0244</t>
  </si>
  <si>
    <t xml:space="preserve">2018/1986</t>
  </si>
  <si>
    <t xml:space="preserve">Amaya Hashim</t>
  </si>
  <si>
    <t xml:space="preserve">No. 215, Park Avenue, Kurunegala</t>
  </si>
  <si>
    <t xml:space="preserve">0761932426</t>
  </si>
  <si>
    <t xml:space="preserve">Yashodha Hashim</t>
  </si>
  <si>
    <t xml:space="preserve">0767741865</t>
  </si>
  <si>
    <t xml:space="preserve">amaya.hashim244@studentmail.example.lk</t>
  </si>
  <si>
    <t xml:space="preserve">STU0245</t>
  </si>
  <si>
    <t xml:space="preserve">2018/4535</t>
  </si>
  <si>
    <t xml:space="preserve">Dilini Hettiarachchi</t>
  </si>
  <si>
    <t xml:space="preserve">No. 192, Park Avenue, Negombo</t>
  </si>
  <si>
    <t xml:space="preserve">0715092221</t>
  </si>
  <si>
    <t xml:space="preserve">0751070518</t>
  </si>
  <si>
    <t xml:space="preserve">dilini.hettiarachchi245@studentmail.example.lk</t>
  </si>
  <si>
    <t xml:space="preserve">STU0246</t>
  </si>
  <si>
    <t xml:space="preserve">2016/3319</t>
  </si>
  <si>
    <t xml:space="preserve">Dinithi Selvarajah</t>
  </si>
  <si>
    <t xml:space="preserve">No. 23, Negombo Road, Kurunegala</t>
  </si>
  <si>
    <t xml:space="preserve">0760203571</t>
  </si>
  <si>
    <t xml:space="preserve">Ravindu Selvarajah</t>
  </si>
  <si>
    <t xml:space="preserve">0773432406</t>
  </si>
  <si>
    <t xml:space="preserve">dinithi.selvarajah246@studentmail.example.lk</t>
  </si>
  <si>
    <t xml:space="preserve">STU0247</t>
  </si>
  <si>
    <t xml:space="preserve">2019/3646</t>
  </si>
  <si>
    <t xml:space="preserve">Sachini Niyas</t>
  </si>
  <si>
    <t xml:space="preserve">No. 24, Park Avenue, Gampaha</t>
  </si>
  <si>
    <t xml:space="preserve">0723740182</t>
  </si>
  <si>
    <t xml:space="preserve">Riyas Naleem Niyas</t>
  </si>
  <si>
    <t xml:space="preserve">0752795596</t>
  </si>
  <si>
    <t xml:space="preserve">sachini.niyas247@studentmail.example.lk</t>
  </si>
  <si>
    <t xml:space="preserve">STU0248</t>
  </si>
  <si>
    <t xml:space="preserve">2016/2976</t>
  </si>
  <si>
    <t xml:space="preserve">Rashmi Hashim</t>
  </si>
  <si>
    <t xml:space="preserve">No. 231, Park Avenue, Negombo</t>
  </si>
  <si>
    <t xml:space="preserve">0756496902</t>
  </si>
  <si>
    <t xml:space="preserve">Gayan Hashim</t>
  </si>
  <si>
    <t xml:space="preserve">0762498392</t>
  </si>
  <si>
    <t xml:space="preserve">rashmi.hashim248@studentmail.example.lk</t>
  </si>
  <si>
    <t xml:space="preserve">STU0249</t>
  </si>
  <si>
    <t xml:space="preserve">2017/1631</t>
  </si>
  <si>
    <t xml:space="preserve">Ishara Ranasinghe</t>
  </si>
  <si>
    <t xml:space="preserve">No. 26, Temple Lane, Kegalle</t>
  </si>
  <si>
    <t xml:space="preserve">0776376731</t>
  </si>
  <si>
    <t xml:space="preserve">Dinithi Ranasinghe</t>
  </si>
  <si>
    <t xml:space="preserve">0752526546</t>
  </si>
  <si>
    <t xml:space="preserve">ishara.ranasinghe249@studentmail.example.lk</t>
  </si>
  <si>
    <t xml:space="preserve">STU0250</t>
  </si>
  <si>
    <t xml:space="preserve">2016/2743</t>
  </si>
  <si>
    <t xml:space="preserve">No. 246, Station Road, Kandy</t>
  </si>
  <si>
    <t xml:space="preserve">0706817151</t>
  </si>
  <si>
    <t xml:space="preserve">Dinithi Velauthapillai</t>
  </si>
  <si>
    <t xml:space="preserve">0776025298</t>
  </si>
  <si>
    <t xml:space="preserve">pasindu.velauthapillai250@studentmail.example.lk</t>
  </si>
  <si>
    <t xml:space="preserve">STU0251</t>
  </si>
  <si>
    <t xml:space="preserve">2020/1028</t>
  </si>
  <si>
    <t xml:space="preserve">Ravindu Velauthapillai</t>
  </si>
  <si>
    <t xml:space="preserve">No. 112, Galle Road, Matara</t>
  </si>
  <si>
    <t xml:space="preserve">0720177509</t>
  </si>
  <si>
    <t xml:space="preserve">Ranjini Velauthapillai</t>
  </si>
  <si>
    <t xml:space="preserve">0775465408</t>
  </si>
  <si>
    <t xml:space="preserve">ravindu.velauthapillai251@studentmail.example.lk</t>
  </si>
  <si>
    <t xml:space="preserve">STU0252</t>
  </si>
  <si>
    <t xml:space="preserve">2018/3822</t>
  </si>
  <si>
    <t xml:space="preserve">Janith Dissanayake</t>
  </si>
  <si>
    <t xml:space="preserve">No. 10, Negombo Road, Ratnapura</t>
  </si>
  <si>
    <t xml:space="preserve">0771681546</t>
  </si>
  <si>
    <t xml:space="preserve">Dinusha Dissanayake</t>
  </si>
  <si>
    <t xml:space="preserve">0750241613</t>
  </si>
  <si>
    <t xml:space="preserve">janith.dissanayake252@studentmail.example.lk</t>
  </si>
  <si>
    <t xml:space="preserve">STU0253</t>
  </si>
  <si>
    <t xml:space="preserve">2018/4203</t>
  </si>
  <si>
    <t xml:space="preserve">Pavithra Rathnayake</t>
  </si>
  <si>
    <t xml:space="preserve">No. 203, Baseline Road, Negombo</t>
  </si>
  <si>
    <t xml:space="preserve">0703053194</t>
  </si>
  <si>
    <t xml:space="preserve">Suresh Rathnayake</t>
  </si>
  <si>
    <t xml:space="preserve">0779796958</t>
  </si>
  <si>
    <t xml:space="preserve">pavithra.rathnayake253@studentmail.example.lk</t>
  </si>
  <si>
    <t xml:space="preserve">STU0254</t>
  </si>
  <si>
    <t xml:space="preserve">2018/2245</t>
  </si>
  <si>
    <t xml:space="preserve">Imran Naufer Gunawardena</t>
  </si>
  <si>
    <t xml:space="preserve">0765966048</t>
  </si>
  <si>
    <t xml:space="preserve">Imesha Gunawardena</t>
  </si>
  <si>
    <t xml:space="preserve">0777368269</t>
  </si>
  <si>
    <t xml:space="preserve">imran.gunawardena254@studentmail.example.lk</t>
  </si>
  <si>
    <t xml:space="preserve">STU0255</t>
  </si>
  <si>
    <t xml:space="preserve">2017/3026</t>
  </si>
  <si>
    <t xml:space="preserve">Shanika Wickramasinghe</t>
  </si>
  <si>
    <t xml:space="preserve">No. 103, Highlevel Road, Colombo</t>
  </si>
  <si>
    <t xml:space="preserve">0765721696</t>
  </si>
  <si>
    <t xml:space="preserve">Vihanga Ranasinghe</t>
  </si>
  <si>
    <t xml:space="preserve">0756309329</t>
  </si>
  <si>
    <t xml:space="preserve">shanika.wickramasinghe255@studentmail.example.lk</t>
  </si>
  <si>
    <t xml:space="preserve">STU0256</t>
  </si>
  <si>
    <t xml:space="preserve">2018/2321</t>
  </si>
  <si>
    <t xml:space="preserve">Ashen Mohamed</t>
  </si>
  <si>
    <t xml:space="preserve">No. 118, Kotte Road, Ratnapura</t>
  </si>
  <si>
    <t xml:space="preserve">0753278195</t>
  </si>
  <si>
    <t xml:space="preserve">Senura Mohamed</t>
  </si>
  <si>
    <t xml:space="preserve">0782371006</t>
  </si>
  <si>
    <t xml:space="preserve">ashen.mohamed256@studentmail.example.lk</t>
  </si>
  <si>
    <t xml:space="preserve">STU0257</t>
  </si>
  <si>
    <t xml:space="preserve">2016/3957</t>
  </si>
  <si>
    <t xml:space="preserve">Amaya Rajapaksa</t>
  </si>
  <si>
    <t xml:space="preserve">No. 54, Highlevel Road, Negombo</t>
  </si>
  <si>
    <t xml:space="preserve">0721773454</t>
  </si>
  <si>
    <t xml:space="preserve">Nadeesh Hashim</t>
  </si>
  <si>
    <t xml:space="preserve">0777574949</t>
  </si>
  <si>
    <t xml:space="preserve">amaya.rajapaksa257@studentmail.example.lk</t>
  </si>
  <si>
    <t xml:space="preserve">STU0258</t>
  </si>
  <si>
    <t xml:space="preserve">2016/1607</t>
  </si>
  <si>
    <t xml:space="preserve">Manori Hettiarachchi</t>
  </si>
  <si>
    <t xml:space="preserve">No. 133, Station Road, Matara</t>
  </si>
  <si>
    <t xml:space="preserve">0762529858</t>
  </si>
  <si>
    <t xml:space="preserve">Ranjini Hettiarachchi</t>
  </si>
  <si>
    <t xml:space="preserve">0726728727</t>
  </si>
  <si>
    <t xml:space="preserve">manori.hettiarachchi258@studentmail.example.lk</t>
  </si>
  <si>
    <t xml:space="preserve">STU0259</t>
  </si>
  <si>
    <t xml:space="preserve">2018/4974</t>
  </si>
  <si>
    <t xml:space="preserve">No. 190, Negombo Road, Gampaha</t>
  </si>
  <si>
    <t xml:space="preserve">0707209484</t>
  </si>
  <si>
    <t xml:space="preserve">0713128403</t>
  </si>
  <si>
    <t xml:space="preserve">shanika.wickramasinghe259@studentmail.example.lk</t>
  </si>
  <si>
    <t xml:space="preserve">STU0260</t>
  </si>
  <si>
    <t xml:space="preserve">2019/4184</t>
  </si>
  <si>
    <t xml:space="preserve">Oshadi Perera</t>
  </si>
  <si>
    <t xml:space="preserve">No. 127, Negombo Road, Kurunegala</t>
  </si>
  <si>
    <t xml:space="preserve">0767844483</t>
  </si>
  <si>
    <t xml:space="preserve">Lakshan Perera</t>
  </si>
  <si>
    <t xml:space="preserve">0724884712</t>
  </si>
  <si>
    <t xml:space="preserve">oshadi.perera260@studentmail.example.lk</t>
  </si>
  <si>
    <t xml:space="preserve">STU0261</t>
  </si>
  <si>
    <t xml:space="preserve">2016/2310</t>
  </si>
  <si>
    <t xml:space="preserve">Sachin Wickramasinghe</t>
  </si>
  <si>
    <t xml:space="preserve">No. 147, Negombo Road, Kurunegala</t>
  </si>
  <si>
    <t xml:space="preserve">0703622925</t>
  </si>
  <si>
    <t xml:space="preserve">Selvam Wijesinghe</t>
  </si>
  <si>
    <t xml:space="preserve">0767964347</t>
  </si>
  <si>
    <t xml:space="preserve">sachin.wickramasinghe261@studentmail.example.lk</t>
  </si>
  <si>
    <t xml:space="preserve">STU0262</t>
  </si>
  <si>
    <t xml:space="preserve">2017/4239</t>
  </si>
  <si>
    <t xml:space="preserve">Kavishka Hettiarachchi</t>
  </si>
  <si>
    <t xml:space="preserve">No. 220, Highlevel Road, Negombo</t>
  </si>
  <si>
    <t xml:space="preserve">0713257970</t>
  </si>
  <si>
    <t xml:space="preserve">0786734996</t>
  </si>
  <si>
    <t xml:space="preserve">kavishka.hettiarachchi262@studentmail.example.lk</t>
  </si>
  <si>
    <t xml:space="preserve">STU0263</t>
  </si>
  <si>
    <t xml:space="preserve">2018/4566</t>
  </si>
  <si>
    <t xml:space="preserve">Vinodhini Careem</t>
  </si>
  <si>
    <t xml:space="preserve">No. 55, Negombo Road, Kurunegala</t>
  </si>
  <si>
    <t xml:space="preserve">0753755344</t>
  </si>
  <si>
    <t xml:space="preserve">0760216667</t>
  </si>
  <si>
    <t xml:space="preserve">vinodhini.careem263@studentmail.example.lk</t>
  </si>
  <si>
    <t xml:space="preserve">STU0264</t>
  </si>
  <si>
    <t xml:space="preserve">2019/1744</t>
  </si>
  <si>
    <t xml:space="preserve">Dinithi Mohamed</t>
  </si>
  <si>
    <t xml:space="preserve">No. 190, Station Road, Colombo</t>
  </si>
  <si>
    <t xml:space="preserve">0759409600</t>
  </si>
  <si>
    <t xml:space="preserve">Kalani Mohamed</t>
  </si>
  <si>
    <t xml:space="preserve">0705624395</t>
  </si>
  <si>
    <t xml:space="preserve">dinithi.mohamed264@studentmail.example.lk</t>
  </si>
  <si>
    <t xml:space="preserve">STU0265</t>
  </si>
  <si>
    <t xml:space="preserve">2018/2240</t>
  </si>
  <si>
    <t xml:space="preserve">Chathurika Pathirana</t>
  </si>
  <si>
    <t xml:space="preserve">No. 7, Negombo Road, Matara</t>
  </si>
  <si>
    <t xml:space="preserve">0716073607</t>
  </si>
  <si>
    <t xml:space="preserve">Thisara Pathirana</t>
  </si>
  <si>
    <t xml:space="preserve">0756336911</t>
  </si>
  <si>
    <t xml:space="preserve">chathurika.pathirana265@studentmail.example.lk</t>
  </si>
  <si>
    <t xml:space="preserve">STU0266</t>
  </si>
  <si>
    <t xml:space="preserve">2016/2452</t>
  </si>
  <si>
    <t xml:space="preserve">Gayan Silva</t>
  </si>
  <si>
    <t xml:space="preserve">No. 59, Kandy Road, Galle</t>
  </si>
  <si>
    <t xml:space="preserve">0750450232</t>
  </si>
  <si>
    <t xml:space="preserve">Pavithra Weerasinghe</t>
  </si>
  <si>
    <t xml:space="preserve">0760282270</t>
  </si>
  <si>
    <t xml:space="preserve">gayan.silva266@studentmail.example.lk</t>
  </si>
  <si>
    <t xml:space="preserve">STU0267</t>
  </si>
  <si>
    <t xml:space="preserve">2018/2358</t>
  </si>
  <si>
    <t xml:space="preserve">Shanika Kandasamy</t>
  </si>
  <si>
    <t xml:space="preserve">No. 139, Station Road, Ratnapura</t>
  </si>
  <si>
    <t xml:space="preserve">0778221053</t>
  </si>
  <si>
    <t xml:space="preserve">Nadeesh Fernando</t>
  </si>
  <si>
    <t xml:space="preserve">0716117768</t>
  </si>
  <si>
    <t xml:space="preserve">shanika.kandasamy267@studentmail.example.lk</t>
  </si>
  <si>
    <t xml:space="preserve">STU0268</t>
  </si>
  <si>
    <t xml:space="preserve">2016/2023</t>
  </si>
  <si>
    <t xml:space="preserve">Bhanuka Gunawardena</t>
  </si>
  <si>
    <t xml:space="preserve">No. 119, Lake Drive, Kegalle</t>
  </si>
  <si>
    <t xml:space="preserve">0769425652</t>
  </si>
  <si>
    <t xml:space="preserve">0760603202</t>
  </si>
  <si>
    <t xml:space="preserve">bhanuka.gunawardena268@studentmail.example.lk</t>
  </si>
  <si>
    <t xml:space="preserve">STU0269</t>
  </si>
  <si>
    <t xml:space="preserve">2016/4202</t>
  </si>
  <si>
    <t xml:space="preserve">Vinodhini Mohamed</t>
  </si>
  <si>
    <t xml:space="preserve">No. 118, Kandy Road, Negombo</t>
  </si>
  <si>
    <t xml:space="preserve">0764254768</t>
  </si>
  <si>
    <t xml:space="preserve">Sachin Mohamed</t>
  </si>
  <si>
    <t xml:space="preserve">0718268323</t>
  </si>
  <si>
    <t xml:space="preserve">vinodhini.mohamed269@studentmail.example.lk</t>
  </si>
  <si>
    <t xml:space="preserve">STU0270</t>
  </si>
  <si>
    <t xml:space="preserve">2018/4660</t>
  </si>
  <si>
    <t xml:space="preserve">No. 65, Park Avenue, Kalutara</t>
  </si>
  <si>
    <t xml:space="preserve">0709910622</t>
  </si>
  <si>
    <t xml:space="preserve">Selvam Jayasinghe</t>
  </si>
  <si>
    <t xml:space="preserve">0752362669</t>
  </si>
  <si>
    <t xml:space="preserve">ridmal.jayasinghe270@studentmail.example.lk</t>
  </si>
  <si>
    <t xml:space="preserve">STU0271</t>
  </si>
  <si>
    <t xml:space="preserve">2019/2223</t>
  </si>
  <si>
    <t xml:space="preserve">Methma Wickramasinghe</t>
  </si>
  <si>
    <t xml:space="preserve">No. 244, Galle Road, Galle</t>
  </si>
  <si>
    <t xml:space="preserve">0784176927</t>
  </si>
  <si>
    <t xml:space="preserve">Dinusha Madushanka</t>
  </si>
  <si>
    <t xml:space="preserve">0784381199</t>
  </si>
  <si>
    <t xml:space="preserve">methma.wickramasinghe271@studentmail.example.lk</t>
  </si>
  <si>
    <t xml:space="preserve">STU0272</t>
  </si>
  <si>
    <t xml:space="preserve">2017/1994</t>
  </si>
  <si>
    <t xml:space="preserve">Sithara Hettiarachchi</t>
  </si>
  <si>
    <t xml:space="preserve">No. 200, Temple Lane, Kegalle</t>
  </si>
  <si>
    <t xml:space="preserve">0769698609</t>
  </si>
  <si>
    <t xml:space="preserve">Erandi Hettiarachchi</t>
  </si>
  <si>
    <t xml:space="preserve">0719191135</t>
  </si>
  <si>
    <t xml:space="preserve">sithara.hettiarachchi272@studentmail.example.lk</t>
  </si>
  <si>
    <t xml:space="preserve">STU0273</t>
  </si>
  <si>
    <t xml:space="preserve">2017/2826</t>
  </si>
  <si>
    <t xml:space="preserve">No. 204, Negombo Road, Gampaha</t>
  </si>
  <si>
    <t xml:space="preserve">0768565271</t>
  </si>
  <si>
    <t xml:space="preserve">Fathima Rinosa Hettiarachchi</t>
  </si>
  <si>
    <t xml:space="preserve">0725983541</t>
  </si>
  <si>
    <t xml:space="preserve">gayan.hettiarachchi273@studentmail.example.lk</t>
  </si>
  <si>
    <t xml:space="preserve">STU0274</t>
  </si>
  <si>
    <t xml:space="preserve">2019/3182</t>
  </si>
  <si>
    <t xml:space="preserve">Lahiru Gunawardena</t>
  </si>
  <si>
    <t xml:space="preserve">No. 158, Lake Drive, Negombo</t>
  </si>
  <si>
    <t xml:space="preserve">0723703824</t>
  </si>
  <si>
    <t xml:space="preserve">Kavishka Gunawardena</t>
  </si>
  <si>
    <t xml:space="preserve">0717333373</t>
  </si>
  <si>
    <t xml:space="preserve">lahiru.gunawardena274@studentmail.example.lk</t>
  </si>
  <si>
    <t xml:space="preserve">STU0275</t>
  </si>
  <si>
    <t xml:space="preserve">2017/1315</t>
  </si>
  <si>
    <t xml:space="preserve">Amaya Kandasamy</t>
  </si>
  <si>
    <t xml:space="preserve">No. 149, Negombo Road, Negombo</t>
  </si>
  <si>
    <t xml:space="preserve">0788785193</t>
  </si>
  <si>
    <t xml:space="preserve">Sithum Kandasamy</t>
  </si>
  <si>
    <t xml:space="preserve">0775837490</t>
  </si>
  <si>
    <t xml:space="preserve">amaya.kandasamy275@studentmail.example.lk</t>
  </si>
  <si>
    <t xml:space="preserve">STU0276</t>
  </si>
  <si>
    <t xml:space="preserve">2018/3205</t>
  </si>
  <si>
    <t xml:space="preserve">Amaya Mendis</t>
  </si>
  <si>
    <t xml:space="preserve">No. 225, Park Avenue, Galle</t>
  </si>
  <si>
    <t xml:space="preserve">0708950905</t>
  </si>
  <si>
    <t xml:space="preserve">Gayan Mendis</t>
  </si>
  <si>
    <t xml:space="preserve">0761191862</t>
  </si>
  <si>
    <t xml:space="preserve">amaya.mendis276@studentmail.example.lk</t>
  </si>
  <si>
    <t xml:space="preserve">STU0277</t>
  </si>
  <si>
    <t xml:space="preserve">2016/1928</t>
  </si>
  <si>
    <t xml:space="preserve">Yashodha Naufer</t>
  </si>
  <si>
    <t xml:space="preserve">No. 135, Highlevel Road, Colombo</t>
  </si>
  <si>
    <t xml:space="preserve">0760805120</t>
  </si>
  <si>
    <t xml:space="preserve">Anjali Naufer</t>
  </si>
  <si>
    <t xml:space="preserve">0760056409</t>
  </si>
  <si>
    <t xml:space="preserve">yashodha.naufer277@studentmail.example.lk</t>
  </si>
  <si>
    <t xml:space="preserve">STU0278</t>
  </si>
  <si>
    <t xml:space="preserve">2020/2429</t>
  </si>
  <si>
    <t xml:space="preserve">Hiruni Fernando</t>
  </si>
  <si>
    <t xml:space="preserve">No. 157, Baseline Road, Matara</t>
  </si>
  <si>
    <t xml:space="preserve">0778671815</t>
  </si>
  <si>
    <t xml:space="preserve">0705237360</t>
  </si>
  <si>
    <t xml:space="preserve">hiruni.fernando278@studentmail.example.lk</t>
  </si>
  <si>
    <t xml:space="preserve">STU0279</t>
  </si>
  <si>
    <t xml:space="preserve">2018/1097</t>
  </si>
  <si>
    <t xml:space="preserve">No. 128, Highlevel Road, Colombo</t>
  </si>
  <si>
    <t xml:space="preserve">0760314998</t>
  </si>
  <si>
    <t xml:space="preserve">Tharaki Velauthapillai</t>
  </si>
  <si>
    <t xml:space="preserve">0705080046</t>
  </si>
  <si>
    <t xml:space="preserve">nadeesh.velauthapillai279@studentmail.example.lk</t>
  </si>
  <si>
    <t xml:space="preserve">STU0280</t>
  </si>
  <si>
    <t xml:space="preserve">2020/4687</t>
  </si>
  <si>
    <t xml:space="preserve">Sithum Wijesinghe</t>
  </si>
  <si>
    <t xml:space="preserve">No. 46, Station Road, Gampaha</t>
  </si>
  <si>
    <t xml:space="preserve">0726022939</t>
  </si>
  <si>
    <t xml:space="preserve">Vishwa Wijesinghe</t>
  </si>
  <si>
    <t xml:space="preserve">0774694346</t>
  </si>
  <si>
    <t xml:space="preserve">sithum.wijesinghe280@studentmail.example.lk</t>
  </si>
  <si>
    <t xml:space="preserve">STU0281</t>
  </si>
  <si>
    <t xml:space="preserve">2016/4864</t>
  </si>
  <si>
    <t xml:space="preserve">Ashen Naufer</t>
  </si>
  <si>
    <t xml:space="preserve">No. 220, Lake Drive, Kalutara</t>
  </si>
  <si>
    <t xml:space="preserve">0711631873</t>
  </si>
  <si>
    <t xml:space="preserve">Manori Naufer</t>
  </si>
  <si>
    <t xml:space="preserve">0708077113</t>
  </si>
  <si>
    <t xml:space="preserve">ashen.naufer281@studentmail.example.lk</t>
  </si>
  <si>
    <t xml:space="preserve">STU0282</t>
  </si>
  <si>
    <t xml:space="preserve">2018/2602</t>
  </si>
  <si>
    <t xml:space="preserve">No. 50, Baseline Road, Matara</t>
  </si>
  <si>
    <t xml:space="preserve">0717139848</t>
  </si>
  <si>
    <t xml:space="preserve">Charith Ranasinghe</t>
  </si>
  <si>
    <t xml:space="preserve">0702850116</t>
  </si>
  <si>
    <t xml:space="preserve">yashodha.ranasinghe282@studentmail.example.lk</t>
  </si>
  <si>
    <t xml:space="preserve">STU0283</t>
  </si>
  <si>
    <t xml:space="preserve">2018/1916</t>
  </si>
  <si>
    <t xml:space="preserve">Vishaka Mohamed</t>
  </si>
  <si>
    <t xml:space="preserve">No. 190, Galle Road, Galle</t>
  </si>
  <si>
    <t xml:space="preserve">0784207683</t>
  </si>
  <si>
    <t xml:space="preserve">Lakshan Kandasamy</t>
  </si>
  <si>
    <t xml:space="preserve">0752536667</t>
  </si>
  <si>
    <t xml:space="preserve">vishaka.mohamed283@studentmail.example.lk</t>
  </si>
  <si>
    <t xml:space="preserve">STU0284</t>
  </si>
  <si>
    <t xml:space="preserve">2016/3701</t>
  </si>
  <si>
    <t xml:space="preserve">Oshadi Thillainathan</t>
  </si>
  <si>
    <t xml:space="preserve">No. 53, Station Road, Ratnapura</t>
  </si>
  <si>
    <t xml:space="preserve">0772492693</t>
  </si>
  <si>
    <t xml:space="preserve">0706573275</t>
  </si>
  <si>
    <t xml:space="preserve">oshadi.thillainathan284@studentmail.example.lk</t>
  </si>
  <si>
    <t xml:space="preserve">STU0285</t>
  </si>
  <si>
    <t xml:space="preserve">2017/2945</t>
  </si>
  <si>
    <t xml:space="preserve">Pasindu Bandara</t>
  </si>
  <si>
    <t xml:space="preserve">No. 144, Negombo Road, Kandy</t>
  </si>
  <si>
    <t xml:space="preserve">0706189628</t>
  </si>
  <si>
    <t xml:space="preserve">Selvam Bandara</t>
  </si>
  <si>
    <t xml:space="preserve">0767431271</t>
  </si>
  <si>
    <t xml:space="preserve">pasindu.bandara285@studentmail.example.lk</t>
  </si>
  <si>
    <t xml:space="preserve">STU0286</t>
  </si>
  <si>
    <t xml:space="preserve">2015/3913</t>
  </si>
  <si>
    <t xml:space="preserve">Rashmi Dissanayake</t>
  </si>
  <si>
    <t xml:space="preserve">No. 5, Lake Drive, Ratnapura</t>
  </si>
  <si>
    <t xml:space="preserve">0752543848</t>
  </si>
  <si>
    <t xml:space="preserve">Methma Naufer</t>
  </si>
  <si>
    <t xml:space="preserve">0717520344</t>
  </si>
  <si>
    <t xml:space="preserve">rashmi.dissanayake286@studentmail.example.lk</t>
  </si>
  <si>
    <t xml:space="preserve">STU0287</t>
  </si>
  <si>
    <t xml:space="preserve">2015/2502</t>
  </si>
  <si>
    <t xml:space="preserve">Manori Sivakumar</t>
  </si>
  <si>
    <t xml:space="preserve">No. 89, Highlevel Road, Kegalle</t>
  </si>
  <si>
    <t xml:space="preserve">0707441715</t>
  </si>
  <si>
    <t xml:space="preserve">Riyas Naleem Sivakumar</t>
  </si>
  <si>
    <t xml:space="preserve">0788102131</t>
  </si>
  <si>
    <t xml:space="preserve">manori.sivakumar287@studentmail.example.lk</t>
  </si>
  <si>
    <t xml:space="preserve">STU0288</t>
  </si>
  <si>
    <t xml:space="preserve">2016/1861</t>
  </si>
  <si>
    <t xml:space="preserve">Ravindu Gunawardena</t>
  </si>
  <si>
    <t xml:space="preserve">No. 50, Temple Lane, Gampaha</t>
  </si>
  <si>
    <t xml:space="preserve">0777927490</t>
  </si>
  <si>
    <t xml:space="preserve">Ahamed Niyas Gunawardena</t>
  </si>
  <si>
    <t xml:space="preserve">0752801234</t>
  </si>
  <si>
    <t xml:space="preserve">ravindu.gunawardena288@studentmail.example.lk</t>
  </si>
  <si>
    <t xml:space="preserve">STU0289</t>
  </si>
  <si>
    <t xml:space="preserve">2019/1893</t>
  </si>
  <si>
    <t xml:space="preserve">Ashen Murugesu</t>
  </si>
  <si>
    <t xml:space="preserve">No. 73, Negombo Road, Negombo</t>
  </si>
  <si>
    <t xml:space="preserve">0711750961</t>
  </si>
  <si>
    <t xml:space="preserve">Kalani Murugesu</t>
  </si>
  <si>
    <t xml:space="preserve">0777015959</t>
  </si>
  <si>
    <t xml:space="preserve">ashen.murugesu289@studentmail.example.lk</t>
  </si>
  <si>
    <t xml:space="preserve">STU0290</t>
  </si>
  <si>
    <t xml:space="preserve">2019/4022</t>
  </si>
  <si>
    <t xml:space="preserve">Geethma Murugesu</t>
  </si>
  <si>
    <t xml:space="preserve">No. 98, Negombo Road, Galle</t>
  </si>
  <si>
    <t xml:space="preserve">0720622923</t>
  </si>
  <si>
    <t xml:space="preserve">Ridmal Murugesu</t>
  </si>
  <si>
    <t xml:space="preserve">0710672453</t>
  </si>
  <si>
    <t xml:space="preserve">geethma.murugesu290@studentmail.example.lk</t>
  </si>
  <si>
    <t xml:space="preserve">STU0291</t>
  </si>
  <si>
    <t xml:space="preserve">2017/3801</t>
  </si>
  <si>
    <t xml:space="preserve">Priyanka Perera</t>
  </si>
  <si>
    <t xml:space="preserve">No. 186, Baseline Road, Kandy</t>
  </si>
  <si>
    <t xml:space="preserve">0729710756</t>
  </si>
  <si>
    <t xml:space="preserve">Kalani Perera</t>
  </si>
  <si>
    <t xml:space="preserve">0703535748</t>
  </si>
  <si>
    <t xml:space="preserve">priyanka.perera291@studentmail.example.lk</t>
  </si>
  <si>
    <t xml:space="preserve">STU0292</t>
  </si>
  <si>
    <t xml:space="preserve">2019/2490</t>
  </si>
  <si>
    <t xml:space="preserve">Chathurika Rajendran</t>
  </si>
  <si>
    <t xml:space="preserve">No. 1, Baseline Road, Kurunegala</t>
  </si>
  <si>
    <t xml:space="preserve">0789782457</t>
  </si>
  <si>
    <t xml:space="preserve">Sithum Rajendran</t>
  </si>
  <si>
    <t xml:space="preserve">0729833991</t>
  </si>
  <si>
    <t xml:space="preserve">chathurika.rajendran292@studentmail.example.lk</t>
  </si>
  <si>
    <t xml:space="preserve">STU0293</t>
  </si>
  <si>
    <t xml:space="preserve">2018/3274</t>
  </si>
  <si>
    <t xml:space="preserve">No. 71, Kotte Road, Ratnapura</t>
  </si>
  <si>
    <t xml:space="preserve">0754292501</t>
  </si>
  <si>
    <t xml:space="preserve">Kavishka Mohamed</t>
  </si>
  <si>
    <t xml:space="preserve">0715875256</t>
  </si>
  <si>
    <t xml:space="preserve">ishara.kandasamy293@studentmail.example.lk</t>
  </si>
  <si>
    <t xml:space="preserve">STU0294</t>
  </si>
  <si>
    <t xml:space="preserve">2016/4850</t>
  </si>
  <si>
    <t xml:space="preserve">No. 106, Baseline Road, Negombo</t>
  </si>
  <si>
    <t xml:space="preserve">0756808662</t>
  </si>
  <si>
    <t xml:space="preserve">Hiruni Bandara</t>
  </si>
  <si>
    <t xml:space="preserve">0761372143</t>
  </si>
  <si>
    <t xml:space="preserve">sithum.bandara294@studentmail.example.lk</t>
  </si>
  <si>
    <t xml:space="preserve">STU0295</t>
  </si>
  <si>
    <t xml:space="preserve">2017/1078</t>
  </si>
  <si>
    <t xml:space="preserve">Janith Rizwan</t>
  </si>
  <si>
    <t xml:space="preserve">No. 179, Station Road, Kegalle</t>
  </si>
  <si>
    <t xml:space="preserve">0710390339</t>
  </si>
  <si>
    <t xml:space="preserve">Tharindu Rizwan</t>
  </si>
  <si>
    <t xml:space="preserve">0750519582</t>
  </si>
  <si>
    <t xml:space="preserve">janith.rizwan295@studentmail.example.lk</t>
  </si>
  <si>
    <t xml:space="preserve">STU0296</t>
  </si>
  <si>
    <t xml:space="preserve">2019/1170</t>
  </si>
  <si>
    <t xml:space="preserve">Niluka Silva</t>
  </si>
  <si>
    <t xml:space="preserve">No. 189, Highlevel Road, Gampaha</t>
  </si>
  <si>
    <t xml:space="preserve">0764570394</t>
  </si>
  <si>
    <t xml:space="preserve">Mihiran Silva</t>
  </si>
  <si>
    <t xml:space="preserve">0708040325</t>
  </si>
  <si>
    <t xml:space="preserve">niluka.silva296@studentmail.example.lk</t>
  </si>
  <si>
    <t xml:space="preserve">STU0297</t>
  </si>
  <si>
    <t xml:space="preserve">2015/2562</t>
  </si>
  <si>
    <t xml:space="preserve">Nuwan Jayasinghe</t>
  </si>
  <si>
    <t xml:space="preserve">No. 166, Kotte Road, Galle</t>
  </si>
  <si>
    <t xml:space="preserve">0775146040</t>
  </si>
  <si>
    <t xml:space="preserve">Sahan Jayasinghe</t>
  </si>
  <si>
    <t xml:space="preserve">0714247310</t>
  </si>
  <si>
    <t xml:space="preserve">nuwan.jayasinghe297@studentmail.example.lk</t>
  </si>
  <si>
    <t xml:space="preserve">STU0298</t>
  </si>
  <si>
    <t xml:space="preserve">2015/2689</t>
  </si>
  <si>
    <t xml:space="preserve">Manori Silva</t>
  </si>
  <si>
    <t xml:space="preserve">No. 198, Highlevel Road, Kalutara</t>
  </si>
  <si>
    <t xml:space="preserve">0777340433</t>
  </si>
  <si>
    <t xml:space="preserve">Shanika Silva</t>
  </si>
  <si>
    <t xml:space="preserve">0777009687</t>
  </si>
  <si>
    <t xml:space="preserve">manori.silva298@studentmail.example.lk</t>
  </si>
  <si>
    <t xml:space="preserve">STU0299</t>
  </si>
  <si>
    <t xml:space="preserve">2017/3767</t>
  </si>
  <si>
    <t xml:space="preserve">Wathsala Selvarajah</t>
  </si>
  <si>
    <t xml:space="preserve">No. 227, Negombo Road, Kurunegala</t>
  </si>
  <si>
    <t xml:space="preserve">0727782058</t>
  </si>
  <si>
    <t xml:space="preserve">0782958292</t>
  </si>
  <si>
    <t xml:space="preserve">wathsala.selvarajah299@studentmail.example.lk</t>
  </si>
  <si>
    <t xml:space="preserve">STU0300</t>
  </si>
  <si>
    <t xml:space="preserve">2017/1924</t>
  </si>
  <si>
    <t xml:space="preserve">Methma Murugesu</t>
  </si>
  <si>
    <t xml:space="preserve">No. 229, Park Avenue, Negombo</t>
  </si>
  <si>
    <t xml:space="preserve">0752143643</t>
  </si>
  <si>
    <t xml:space="preserve">Isuru Murugesu</t>
  </si>
  <si>
    <t xml:space="preserve">0761300041</t>
  </si>
  <si>
    <t xml:space="preserve">methma.murugesu300@studentmail.example.lk</t>
  </si>
  <si>
    <t xml:space="preserve">STU0301</t>
  </si>
  <si>
    <t xml:space="preserve">2019/2731</t>
  </si>
  <si>
    <t xml:space="preserve">Hiruni Hettiarachchi</t>
  </si>
  <si>
    <t xml:space="preserve">No. 247, Temple Lane, Negombo</t>
  </si>
  <si>
    <t xml:space="preserve">0754811317</t>
  </si>
  <si>
    <t xml:space="preserve">Tharindu Hettiarachchi</t>
  </si>
  <si>
    <t xml:space="preserve">0755397054</t>
  </si>
  <si>
    <t xml:space="preserve">hiruni.hettiarachchi301@studentmail.example.lk</t>
  </si>
  <si>
    <t xml:space="preserve">STU0302</t>
  </si>
  <si>
    <t xml:space="preserve">2015/1449</t>
  </si>
  <si>
    <t xml:space="preserve">Vidushi Kumara</t>
  </si>
  <si>
    <t xml:space="preserve">No. 2, Station Road, Kandy</t>
  </si>
  <si>
    <t xml:space="preserve">0786042359</t>
  </si>
  <si>
    <t xml:space="preserve">Dinithi Kumara</t>
  </si>
  <si>
    <t xml:space="preserve">0787371122</t>
  </si>
  <si>
    <t xml:space="preserve">vidushi.kumara302@studentmail.example.lk</t>
  </si>
  <si>
    <t xml:space="preserve">STU0303</t>
  </si>
  <si>
    <t xml:space="preserve">2018/4713</t>
  </si>
  <si>
    <t xml:space="preserve">Lahiru Hettiarachchi</t>
  </si>
  <si>
    <t xml:space="preserve">No. 147, Negombo Road, Gampaha</t>
  </si>
  <si>
    <t xml:space="preserve">0758584712</t>
  </si>
  <si>
    <t xml:space="preserve">0766180332</t>
  </si>
  <si>
    <t xml:space="preserve">lahiru.hettiarachchi303@studentmail.example.lk</t>
  </si>
  <si>
    <t xml:space="preserve">STU0304</t>
  </si>
  <si>
    <t xml:space="preserve">2020/3318</t>
  </si>
  <si>
    <t xml:space="preserve">Dinusha Mendis</t>
  </si>
  <si>
    <t xml:space="preserve">No. 16, Station Road, Colombo</t>
  </si>
  <si>
    <t xml:space="preserve">0785603567</t>
  </si>
  <si>
    <t xml:space="preserve">Charith Mendis</t>
  </si>
  <si>
    <t xml:space="preserve">0763279862</t>
  </si>
  <si>
    <t xml:space="preserve">dinusha.mendis304@studentmail.example.lk</t>
  </si>
  <si>
    <t xml:space="preserve">STU0305</t>
  </si>
  <si>
    <t xml:space="preserve">2020/2922</t>
  </si>
  <si>
    <t xml:space="preserve">No. 65, Highlevel Road, Kalutara</t>
  </si>
  <si>
    <t xml:space="preserve">0784983553</t>
  </si>
  <si>
    <t xml:space="preserve">Manori Hashim</t>
  </si>
  <si>
    <t xml:space="preserve">0763543586</t>
  </si>
  <si>
    <t xml:space="preserve">oshadi.hashim305@studentmail.example.lk</t>
  </si>
  <si>
    <t xml:space="preserve">STU0306</t>
  </si>
  <si>
    <t xml:space="preserve">2016/1749</t>
  </si>
  <si>
    <t xml:space="preserve">Nipun Rathnayake</t>
  </si>
  <si>
    <t xml:space="preserve">No. 184, Highlevel Road, Ratnapura</t>
  </si>
  <si>
    <t xml:space="preserve">0758524914</t>
  </si>
  <si>
    <t xml:space="preserve">0716860134</t>
  </si>
  <si>
    <t xml:space="preserve">nipun.rathnayake306@studentmail.example.lk</t>
  </si>
  <si>
    <t xml:space="preserve">STU0307</t>
  </si>
  <si>
    <t xml:space="preserve">2015/1521</t>
  </si>
  <si>
    <t xml:space="preserve">Damith Jayasinghe</t>
  </si>
  <si>
    <t xml:space="preserve">No. 3, Kandy Road, Kurunegala</t>
  </si>
  <si>
    <t xml:space="preserve">0764463339</t>
  </si>
  <si>
    <t xml:space="preserve">0769485320</t>
  </si>
  <si>
    <t xml:space="preserve">damith.jayasinghe307@studentmail.example.lk</t>
  </si>
  <si>
    <t xml:space="preserve">STU0308</t>
  </si>
  <si>
    <t xml:space="preserve">2015/2782</t>
  </si>
  <si>
    <t xml:space="preserve">Bhanuka Gamage</t>
  </si>
  <si>
    <t xml:space="preserve">No. 217, Kandy Road, Galle</t>
  </si>
  <si>
    <t xml:space="preserve">0777726960</t>
  </si>
  <si>
    <t xml:space="preserve">Thisara Gamage</t>
  </si>
  <si>
    <t xml:space="preserve">0764376855</t>
  </si>
  <si>
    <t xml:space="preserve">bhanuka.gamage308@studentmail.example.lk</t>
  </si>
  <si>
    <t xml:space="preserve">STU0309</t>
  </si>
  <si>
    <t xml:space="preserve">2020/3643</t>
  </si>
  <si>
    <t xml:space="preserve">Senuri Sivakumar</t>
  </si>
  <si>
    <t xml:space="preserve">No. 98, Galle Road, Matara</t>
  </si>
  <si>
    <t xml:space="preserve">0757616453</t>
  </si>
  <si>
    <t xml:space="preserve">Ishara Sivakumar</t>
  </si>
  <si>
    <t xml:space="preserve">0725472239</t>
  </si>
  <si>
    <t xml:space="preserve">senuri.sivakumar309@studentmail.example.lk</t>
  </si>
  <si>
    <t xml:space="preserve">STU0310</t>
  </si>
  <si>
    <t xml:space="preserve">2018/1070</t>
  </si>
  <si>
    <t xml:space="preserve">Vinoth Ranasinghe</t>
  </si>
  <si>
    <t xml:space="preserve">No. 69, Negombo Road, Kegalle</t>
  </si>
  <si>
    <t xml:space="preserve">0717852282</t>
  </si>
  <si>
    <t xml:space="preserve">0700524808</t>
  </si>
  <si>
    <t xml:space="preserve">vinoth.ranasinghe310@studentmail.example.lk</t>
  </si>
  <si>
    <t xml:space="preserve">STU0311</t>
  </si>
  <si>
    <t xml:space="preserve">2019/3254</t>
  </si>
  <si>
    <t xml:space="preserve">Nadeesh Mohamed</t>
  </si>
  <si>
    <t xml:space="preserve">No. 193, Highlevel Road, Kegalle</t>
  </si>
  <si>
    <t xml:space="preserve">0752872031</t>
  </si>
  <si>
    <t xml:space="preserve">Aysha Nimna Selvarajah</t>
  </si>
  <si>
    <t xml:space="preserve">0765419666</t>
  </si>
  <si>
    <t xml:space="preserve">nadeesh.mohamed311@studentmail.example.lk</t>
  </si>
  <si>
    <t xml:space="preserve">STU0312</t>
  </si>
  <si>
    <t xml:space="preserve">2018/4614</t>
  </si>
  <si>
    <t xml:space="preserve">No. 38, Kandy Road, Kalutara</t>
  </si>
  <si>
    <t xml:space="preserve">0720576619</t>
  </si>
  <si>
    <t xml:space="preserve">Sahan Naufer</t>
  </si>
  <si>
    <t xml:space="preserve">0725887071</t>
  </si>
  <si>
    <t xml:space="preserve">yashodha.naufer312@studentmail.example.lk</t>
  </si>
  <si>
    <t xml:space="preserve">STU0313</t>
  </si>
  <si>
    <t xml:space="preserve">2018/4281</t>
  </si>
  <si>
    <t xml:space="preserve">Risma Nawfar Mohamed</t>
  </si>
  <si>
    <t xml:space="preserve">No. 132, Galle Road, Kegalle</t>
  </si>
  <si>
    <t xml:space="preserve">0779812657</t>
  </si>
  <si>
    <t xml:space="preserve">Vidushi Mohamed</t>
  </si>
  <si>
    <t xml:space="preserve">0774223196</t>
  </si>
  <si>
    <t xml:space="preserve">risma.mohamed313@studentmail.example.lk</t>
  </si>
  <si>
    <t xml:space="preserve">STU0314</t>
  </si>
  <si>
    <t xml:space="preserve">2015/3526</t>
  </si>
  <si>
    <t xml:space="preserve">Riyas Naleem Naufer</t>
  </si>
  <si>
    <t xml:space="preserve">No. 141, Baseline Road, Kurunegala</t>
  </si>
  <si>
    <t xml:space="preserve">0762984933</t>
  </si>
  <si>
    <t xml:space="preserve">Praveen Naufer</t>
  </si>
  <si>
    <t xml:space="preserve">0780674584</t>
  </si>
  <si>
    <t xml:space="preserve">riyas.naufer314@studentmail.example.lk</t>
  </si>
  <si>
    <t xml:space="preserve">STU0315</t>
  </si>
  <si>
    <t xml:space="preserve">2016/2690</t>
  </si>
  <si>
    <t xml:space="preserve">No. 42, Lake Drive, Matara</t>
  </si>
  <si>
    <t xml:space="preserve">0771506662</t>
  </si>
  <si>
    <t xml:space="preserve">Selvam Mohamed</t>
  </si>
  <si>
    <t xml:space="preserve">0757055143</t>
  </si>
  <si>
    <t xml:space="preserve">akila.mohamed315@studentmail.example.lk</t>
  </si>
  <si>
    <t xml:space="preserve">STU0316</t>
  </si>
  <si>
    <t xml:space="preserve">2017/1210</t>
  </si>
  <si>
    <t xml:space="preserve">No. 216, Baseline Road, Kurunegala</t>
  </si>
  <si>
    <t xml:space="preserve">0779102451</t>
  </si>
  <si>
    <t xml:space="preserve">Ridmal Perera</t>
  </si>
  <si>
    <t xml:space="preserve">0719109032</t>
  </si>
  <si>
    <t xml:space="preserve">lahiru.perera316@studentmail.example.lk</t>
  </si>
  <si>
    <t xml:space="preserve">STU0317</t>
  </si>
  <si>
    <t xml:space="preserve">2017/3723</t>
  </si>
  <si>
    <t xml:space="preserve">Sithum Karunaratne</t>
  </si>
  <si>
    <t xml:space="preserve">No. 76, Station Road, Galle</t>
  </si>
  <si>
    <t xml:space="preserve">0783453372</t>
  </si>
  <si>
    <t xml:space="preserve">Hiruni Weerasinghe</t>
  </si>
  <si>
    <t xml:space="preserve">0772010912</t>
  </si>
  <si>
    <t xml:space="preserve">sithum.karunaratne317@studentmail.example.lk</t>
  </si>
  <si>
    <t xml:space="preserve">STU0318</t>
  </si>
  <si>
    <t xml:space="preserve">2017/4052</t>
  </si>
  <si>
    <t xml:space="preserve">Wathsala Murugesu</t>
  </si>
  <si>
    <t xml:space="preserve">No. 2, Negombo Road, Kalutara</t>
  </si>
  <si>
    <t xml:space="preserve">0751752023</t>
  </si>
  <si>
    <t xml:space="preserve">Niluka Ranasinghe</t>
  </si>
  <si>
    <t xml:space="preserve">0769743260</t>
  </si>
  <si>
    <t xml:space="preserve">wathsala.murugesu318@studentmail.example.lk</t>
  </si>
  <si>
    <t xml:space="preserve">STU0319</t>
  </si>
  <si>
    <t xml:space="preserve">2018/1182</t>
  </si>
  <si>
    <t xml:space="preserve">Thisara Fernando</t>
  </si>
  <si>
    <t xml:space="preserve">No. 203, Kandy Road, Matara</t>
  </si>
  <si>
    <t xml:space="preserve">0786799359</t>
  </si>
  <si>
    <t xml:space="preserve">Priyanka Fernando</t>
  </si>
  <si>
    <t xml:space="preserve">0707440394</t>
  </si>
  <si>
    <t xml:space="preserve">thisara.fernando319@studentmail.example.lk</t>
  </si>
  <si>
    <t xml:space="preserve">STU0320</t>
  </si>
  <si>
    <t xml:space="preserve">2018/4149</t>
  </si>
  <si>
    <t xml:space="preserve">Tharaki Niyas</t>
  </si>
  <si>
    <t xml:space="preserve">No. 170, Park Avenue, Kalutara</t>
  </si>
  <si>
    <t xml:space="preserve">0781368528</t>
  </si>
  <si>
    <t xml:space="preserve">Janani Niyas</t>
  </si>
  <si>
    <t xml:space="preserve">0773061537</t>
  </si>
  <si>
    <t xml:space="preserve">tharaki.niyas320@studentmail.example.lk</t>
  </si>
  <si>
    <t xml:space="preserve">STU0321</t>
  </si>
  <si>
    <t xml:space="preserve">2015/2382</t>
  </si>
  <si>
    <t xml:space="preserve">Kasun Abeysekara</t>
  </si>
  <si>
    <t xml:space="preserve">No. 72, Kandy Road, Kurunegala</t>
  </si>
  <si>
    <t xml:space="preserve">0781526384</t>
  </si>
  <si>
    <t xml:space="preserve">Dinithi Abeysekara</t>
  </si>
  <si>
    <t xml:space="preserve">0770911225</t>
  </si>
  <si>
    <t xml:space="preserve">kasun.abeysekara321@studentmail.example.lk</t>
  </si>
  <si>
    <t xml:space="preserve">STU0322</t>
  </si>
  <si>
    <t xml:space="preserve">2016/2586</t>
  </si>
  <si>
    <t xml:space="preserve">No. 49, Galle Road, Ratnapura</t>
  </si>
  <si>
    <t xml:space="preserve">0720556057</t>
  </si>
  <si>
    <t xml:space="preserve">Lahiru Bandara</t>
  </si>
  <si>
    <t xml:space="preserve">0712198819</t>
  </si>
  <si>
    <t xml:space="preserve">fathima.bandara322@studentmail.example.lk</t>
  </si>
  <si>
    <t xml:space="preserve">STU0323</t>
  </si>
  <si>
    <t xml:space="preserve">2016/1304</t>
  </si>
  <si>
    <t xml:space="preserve">Yohan Sivakumar</t>
  </si>
  <si>
    <t xml:space="preserve">No. 77, Station Road, Colombo</t>
  </si>
  <si>
    <t xml:space="preserve">0714521289</t>
  </si>
  <si>
    <t xml:space="preserve">Oshadi Sivakumar</t>
  </si>
  <si>
    <t xml:space="preserve">0761511455</t>
  </si>
  <si>
    <t xml:space="preserve">yohan.sivakumar323@studentmail.example.lk</t>
  </si>
  <si>
    <t xml:space="preserve">STU0324</t>
  </si>
  <si>
    <t xml:space="preserve">2016/1560</t>
  </si>
  <si>
    <t xml:space="preserve">Pasindu Thillainathan</t>
  </si>
  <si>
    <t xml:space="preserve">No. 208, Baseline Road, Galle</t>
  </si>
  <si>
    <t xml:space="preserve">0761429831</t>
  </si>
  <si>
    <t xml:space="preserve">Dinithi Thillainathan</t>
  </si>
  <si>
    <t xml:space="preserve">0722291073</t>
  </si>
  <si>
    <t xml:space="preserve">pasindu.thillainathan324@studentmail.example.lk</t>
  </si>
  <si>
    <t xml:space="preserve">STU0325</t>
  </si>
  <si>
    <t xml:space="preserve">2020/3895</t>
  </si>
  <si>
    <t xml:space="preserve">No. 192, Highlevel Road, Kandy</t>
  </si>
  <si>
    <t xml:space="preserve">0762913203</t>
  </si>
  <si>
    <t xml:space="preserve">0700162341</t>
  </si>
  <si>
    <t xml:space="preserve">mihiran.thillainathan325@studentmail.example.lk</t>
  </si>
  <si>
    <t xml:space="preserve">STU0326</t>
  </si>
  <si>
    <t xml:space="preserve">No. 214, Galle Road, Matara</t>
  </si>
  <si>
    <t xml:space="preserve">0764361424</t>
  </si>
  <si>
    <t xml:space="preserve">Nipun Abeysekara</t>
  </si>
  <si>
    <t xml:space="preserve">0722607819</t>
  </si>
  <si>
    <t xml:space="preserve">thilini.abeysekara326@studentmail.example.lk</t>
  </si>
  <si>
    <t xml:space="preserve">STU0327</t>
  </si>
  <si>
    <t xml:space="preserve">2018/1988</t>
  </si>
  <si>
    <t xml:space="preserve">Ridmal Careem</t>
  </si>
  <si>
    <t xml:space="preserve">No. 236, Negombo Road, Matara</t>
  </si>
  <si>
    <t xml:space="preserve">0760205869</t>
  </si>
  <si>
    <t xml:space="preserve">Erandi Careem</t>
  </si>
  <si>
    <t xml:space="preserve">0720732146</t>
  </si>
  <si>
    <t xml:space="preserve">ridmal.careem327@studentmail.example.lk</t>
  </si>
  <si>
    <t xml:space="preserve">STU0328</t>
  </si>
  <si>
    <t xml:space="preserve">2018/3825</t>
  </si>
  <si>
    <t xml:space="preserve">Imesha Niyas</t>
  </si>
  <si>
    <t xml:space="preserve">No. 120, Station Road, Kegalle</t>
  </si>
  <si>
    <t xml:space="preserve">0771187233</t>
  </si>
  <si>
    <t xml:space="preserve">Kavindi Wijesinghe</t>
  </si>
  <si>
    <t xml:space="preserve">0705104096</t>
  </si>
  <si>
    <t xml:space="preserve">imesha.niyas328@studentmail.example.lk</t>
  </si>
  <si>
    <t xml:space="preserve">STU0329</t>
  </si>
  <si>
    <t xml:space="preserve">2015/4635</t>
  </si>
  <si>
    <t xml:space="preserve">Tharaki Kumara</t>
  </si>
  <si>
    <t xml:space="preserve">No. 110, Baseline Road, Kurunegala</t>
  </si>
  <si>
    <t xml:space="preserve">0787820190</t>
  </si>
  <si>
    <t xml:space="preserve">Wathsala Kumara</t>
  </si>
  <si>
    <t xml:space="preserve">0774322302</t>
  </si>
  <si>
    <t xml:space="preserve">tharaki.kumara329@studentmail.example.lk</t>
  </si>
  <si>
    <t xml:space="preserve">STU0330</t>
  </si>
  <si>
    <t xml:space="preserve">2016/3803</t>
  </si>
  <si>
    <t xml:space="preserve">Vishwa Sivakumar</t>
  </si>
  <si>
    <t xml:space="preserve">No. 55, Kandy Road, Kandy</t>
  </si>
  <si>
    <t xml:space="preserve">0751632488</t>
  </si>
  <si>
    <t xml:space="preserve">Ashen Sivakumar</t>
  </si>
  <si>
    <t xml:space="preserve">0778995729</t>
  </si>
  <si>
    <t xml:space="preserve">vishwa.sivakumar330@studentmail.example.lk</t>
  </si>
  <si>
    <t xml:space="preserve">STU0331</t>
  </si>
  <si>
    <t xml:space="preserve">2017/3294</t>
  </si>
  <si>
    <t xml:space="preserve">Ishara Rajapaksa</t>
  </si>
  <si>
    <t xml:space="preserve">No. 225, Kotte Road, Kandy</t>
  </si>
  <si>
    <t xml:space="preserve">0700898138</t>
  </si>
  <si>
    <t xml:space="preserve">Vishaka Rajapaksa</t>
  </si>
  <si>
    <t xml:space="preserve">0761588144</t>
  </si>
  <si>
    <t xml:space="preserve">ishara.rajapaksa331@studentmail.example.lk</t>
  </si>
  <si>
    <t xml:space="preserve">STU0332</t>
  </si>
  <si>
    <t xml:space="preserve">2020/2969</t>
  </si>
  <si>
    <t xml:space="preserve">Vihanga Kumara</t>
  </si>
  <si>
    <t xml:space="preserve">No. 202, Lake Drive, Colombo</t>
  </si>
  <si>
    <t xml:space="preserve">0772556184</t>
  </si>
  <si>
    <t xml:space="preserve">Manori Kumara</t>
  </si>
  <si>
    <t xml:space="preserve">0784421829</t>
  </si>
  <si>
    <t xml:space="preserve">vihanga.kumara332@studentmail.example.lk</t>
  </si>
  <si>
    <t xml:space="preserve">STU0333</t>
  </si>
  <si>
    <t xml:space="preserve">2015/3607</t>
  </si>
  <si>
    <t xml:space="preserve">Dilshan Jayasinghe</t>
  </si>
  <si>
    <t xml:space="preserve">No. 97, Lake Drive, Negombo</t>
  </si>
  <si>
    <t xml:space="preserve">0706248355</t>
  </si>
  <si>
    <t xml:space="preserve">0770542960</t>
  </si>
  <si>
    <t xml:space="preserve">dilshan.jayasinghe333@studentmail.example.lk</t>
  </si>
  <si>
    <t xml:space="preserve">STU0334</t>
  </si>
  <si>
    <t xml:space="preserve">2018/2071</t>
  </si>
  <si>
    <t xml:space="preserve">Nipun Murugesu</t>
  </si>
  <si>
    <t xml:space="preserve">No. 226, Kotte Road, Kegalle</t>
  </si>
  <si>
    <t xml:space="preserve">0706381643</t>
  </si>
  <si>
    <t xml:space="preserve">Sithara Naufer</t>
  </si>
  <si>
    <t xml:space="preserve">0701269428</t>
  </si>
  <si>
    <t xml:space="preserve">nipun.murugesu334@studentmail.example.lk</t>
  </si>
  <si>
    <t xml:space="preserve">STU0335</t>
  </si>
  <si>
    <t xml:space="preserve">2015/1641</t>
  </si>
  <si>
    <t xml:space="preserve">Ishara Mohamed</t>
  </si>
  <si>
    <t xml:space="preserve">No. 202, Kotte Road, Kurunegala</t>
  </si>
  <si>
    <t xml:space="preserve">0728243017</t>
  </si>
  <si>
    <t xml:space="preserve">Lahiru Mohamed</t>
  </si>
  <si>
    <t xml:space="preserve">0754644898</t>
  </si>
  <si>
    <t xml:space="preserve">ishara.mohamed335@studentmail.example.lk</t>
  </si>
  <si>
    <t xml:space="preserve">STU0336</t>
  </si>
  <si>
    <t xml:space="preserve">2018/4972</t>
  </si>
  <si>
    <t xml:space="preserve">Shanika Jayasinghe</t>
  </si>
  <si>
    <t xml:space="preserve">No. 81, Kandy Road, Galle</t>
  </si>
  <si>
    <t xml:space="preserve">0773211197</t>
  </si>
  <si>
    <t xml:space="preserve">0767180933</t>
  </si>
  <si>
    <t xml:space="preserve">shanika.jayasinghe336@studentmail.example.lk</t>
  </si>
  <si>
    <t xml:space="preserve">STU0337</t>
  </si>
  <si>
    <t xml:space="preserve">2016/2001</t>
  </si>
  <si>
    <t xml:space="preserve">Sandun Thillainathan</t>
  </si>
  <si>
    <t xml:space="preserve">No. 68, Highlevel Road, Ratnapura</t>
  </si>
  <si>
    <t xml:space="preserve">0716093659</t>
  </si>
  <si>
    <t xml:space="preserve">Fathima Rinosa Thillainathan</t>
  </si>
  <si>
    <t xml:space="preserve">0785201491</t>
  </si>
  <si>
    <t xml:space="preserve">sandun.thillainathan337@studentmail.example.lk</t>
  </si>
  <si>
    <t xml:space="preserve">STU0338</t>
  </si>
  <si>
    <t xml:space="preserve">Chamara Abeysekara</t>
  </si>
  <si>
    <t xml:space="preserve">No. 105, Galle Road, Kurunegala</t>
  </si>
  <si>
    <t xml:space="preserve">0770537666</t>
  </si>
  <si>
    <t xml:space="preserve">0780811260</t>
  </si>
  <si>
    <t xml:space="preserve">chamara.abeysekara338@studentmail.example.lk</t>
  </si>
  <si>
    <t xml:space="preserve">STU0339</t>
  </si>
  <si>
    <t xml:space="preserve">2017/3085</t>
  </si>
  <si>
    <t xml:space="preserve">No. 125, Station Road, Kegalle</t>
  </si>
  <si>
    <t xml:space="preserve">0772938440</t>
  </si>
  <si>
    <t xml:space="preserve">0713480873</t>
  </si>
  <si>
    <t xml:space="preserve">kavishka.hettiarachchi339@studentmail.example.lk</t>
  </si>
  <si>
    <t xml:space="preserve">STU0340</t>
  </si>
  <si>
    <t xml:space="preserve">2020/4290</t>
  </si>
  <si>
    <t xml:space="preserve">No. 194, Lake Drive, Ratnapura</t>
  </si>
  <si>
    <t xml:space="preserve">0766996489</t>
  </si>
  <si>
    <t xml:space="preserve">Anjali Kumara</t>
  </si>
  <si>
    <t xml:space="preserve">0789718428</t>
  </si>
  <si>
    <t xml:space="preserve">selvam.jayasinghe340@studentmail.example.lk</t>
  </si>
  <si>
    <t xml:space="preserve">STU0341</t>
  </si>
  <si>
    <t xml:space="preserve">2020/2872</t>
  </si>
  <si>
    <t xml:space="preserve">Senura Silva</t>
  </si>
  <si>
    <t xml:space="preserve">No. 144, Kotte Road, Kegalle</t>
  </si>
  <si>
    <t xml:space="preserve">0763595382</t>
  </si>
  <si>
    <t xml:space="preserve">Hashan Silva</t>
  </si>
  <si>
    <t xml:space="preserve">0778040561</t>
  </si>
  <si>
    <t xml:space="preserve">senura.silva341@studentmail.example.lk</t>
  </si>
  <si>
    <t xml:space="preserve">STU0342</t>
  </si>
  <si>
    <t xml:space="preserve">2019/4139</t>
  </si>
  <si>
    <t xml:space="preserve">Aravinth Hashim</t>
  </si>
  <si>
    <t xml:space="preserve">No. 50, Highlevel Road, Galle</t>
  </si>
  <si>
    <t xml:space="preserve">0762394840</t>
  </si>
  <si>
    <t xml:space="preserve">Akila Hashim</t>
  </si>
  <si>
    <t xml:space="preserve">0780273008</t>
  </si>
  <si>
    <t xml:space="preserve">aravinth.hashim342@studentmail.example.lk</t>
  </si>
  <si>
    <t xml:space="preserve">STU0343</t>
  </si>
  <si>
    <t xml:space="preserve">2019/4571</t>
  </si>
  <si>
    <t xml:space="preserve">Vihanga Jayasinghe</t>
  </si>
  <si>
    <t xml:space="preserve">No. 187, Baseline Road, Gampaha</t>
  </si>
  <si>
    <t xml:space="preserve">0774407779</t>
  </si>
  <si>
    <t xml:space="preserve">Kalpana Jayasinghe</t>
  </si>
  <si>
    <t xml:space="preserve">0726207266</t>
  </si>
  <si>
    <t xml:space="preserve">vihanga.jayasinghe343@studentmail.example.lk</t>
  </si>
  <si>
    <t xml:space="preserve">STU0344</t>
  </si>
  <si>
    <t xml:space="preserve">2018/2465</t>
  </si>
  <si>
    <t xml:space="preserve">Sachin Senanayake</t>
  </si>
  <si>
    <t xml:space="preserve">No. 28, Temple Lane, Kegalle</t>
  </si>
  <si>
    <t xml:space="preserve">0717032119</t>
  </si>
  <si>
    <t xml:space="preserve">Sanduni Murugesu</t>
  </si>
  <si>
    <t xml:space="preserve">0700613638</t>
  </si>
  <si>
    <t xml:space="preserve">sachin.senanayake344@studentmail.example.lk</t>
  </si>
  <si>
    <t xml:space="preserve">STU0345</t>
  </si>
  <si>
    <t xml:space="preserve">2019/2166</t>
  </si>
  <si>
    <t xml:space="preserve">Mihiran Rathnayake</t>
  </si>
  <si>
    <t xml:space="preserve">No. 102, Temple Lane, Kegalle</t>
  </si>
  <si>
    <t xml:space="preserve">0712778221</t>
  </si>
  <si>
    <t xml:space="preserve">Senura Rathnayake</t>
  </si>
  <si>
    <t xml:space="preserve">0712179821</t>
  </si>
  <si>
    <t xml:space="preserve">mihiran.rathnayake345@studentmail.example.lk</t>
  </si>
  <si>
    <t xml:space="preserve">STU0346</t>
  </si>
  <si>
    <t xml:space="preserve">2015/2672</t>
  </si>
  <si>
    <t xml:space="preserve">Suresh Abeysekara</t>
  </si>
  <si>
    <t xml:space="preserve">No. 180, Lake Drive, Kegalle</t>
  </si>
  <si>
    <t xml:space="preserve">0776617706</t>
  </si>
  <si>
    <t xml:space="preserve">Dilshan Abeysekara</t>
  </si>
  <si>
    <t xml:space="preserve">0787368205</t>
  </si>
  <si>
    <t xml:space="preserve">suresh.abeysekara346@studentmail.example.lk</t>
  </si>
  <si>
    <t xml:space="preserve">STU0347</t>
  </si>
  <si>
    <t xml:space="preserve">2019/1297</t>
  </si>
  <si>
    <t xml:space="preserve">Tharushi Hettiarachchi</t>
  </si>
  <si>
    <t xml:space="preserve">0769843699</t>
  </si>
  <si>
    <t xml:space="preserve">Niluka Hettiarachchi</t>
  </si>
  <si>
    <t xml:space="preserve">0764802205</t>
  </si>
  <si>
    <t xml:space="preserve">tharushi.hettiarachchi347@studentmail.example.lk</t>
  </si>
  <si>
    <t xml:space="preserve">STU0348</t>
  </si>
  <si>
    <t xml:space="preserve">2017/4942</t>
  </si>
  <si>
    <t xml:space="preserve">No. 46, Kotte Road, Kegalle</t>
  </si>
  <si>
    <t xml:space="preserve">0757673820</t>
  </si>
  <si>
    <t xml:space="preserve">0767461917</t>
  </si>
  <si>
    <t xml:space="preserve">ahamed.gunawardena348@studentmail.example.lk</t>
  </si>
  <si>
    <t xml:space="preserve">STU0349</t>
  </si>
  <si>
    <t xml:space="preserve">2018/3717</t>
  </si>
  <si>
    <t xml:space="preserve">Riyas Naleem Abeysekara</t>
  </si>
  <si>
    <t xml:space="preserve">No. 85, Temple Lane, Ratnapura</t>
  </si>
  <si>
    <t xml:space="preserve">0710124825</t>
  </si>
  <si>
    <t xml:space="preserve">Chathurika Abeysekara</t>
  </si>
  <si>
    <t xml:space="preserve">0785442867</t>
  </si>
  <si>
    <t xml:space="preserve">riyas.abeysekara349@studentmail.example.lk</t>
  </si>
  <si>
    <t xml:space="preserve">STU0350</t>
  </si>
  <si>
    <t xml:space="preserve">2017/4743</t>
  </si>
  <si>
    <t xml:space="preserve">Riyas Naleem Pathirana</t>
  </si>
  <si>
    <t xml:space="preserve">No. 243, Lake Drive, Gampaha</t>
  </si>
  <si>
    <t xml:space="preserve">0783589513</t>
  </si>
  <si>
    <t xml:space="preserve">0788186550</t>
  </si>
  <si>
    <t xml:space="preserve">riyas.pathirana350@studentmail.example.lk</t>
  </si>
  <si>
    <t xml:space="preserve">STU0351</t>
  </si>
  <si>
    <t xml:space="preserve">2019/4249</t>
  </si>
  <si>
    <t xml:space="preserve">Tharindu Senanayake</t>
  </si>
  <si>
    <t xml:space="preserve">No. 76, Temple Lane, Negombo</t>
  </si>
  <si>
    <t xml:space="preserve">0725313259</t>
  </si>
  <si>
    <t xml:space="preserve">Tharushi Senanayake</t>
  </si>
  <si>
    <t xml:space="preserve">0706781367</t>
  </si>
  <si>
    <t xml:space="preserve">tharindu.senanayake351@studentmail.example.lk</t>
  </si>
  <si>
    <t xml:space="preserve">STU0352</t>
  </si>
  <si>
    <t xml:space="preserve">2019/4103</t>
  </si>
  <si>
    <t xml:space="preserve">No. 132, Park Avenue, Kegalle</t>
  </si>
  <si>
    <t xml:space="preserve">0785622586</t>
  </si>
  <si>
    <t xml:space="preserve">Yohan Careem</t>
  </si>
  <si>
    <t xml:space="preserve">0750598678</t>
  </si>
  <si>
    <t xml:space="preserve">kuganesan.careem352@studentmail.example.lk</t>
  </si>
  <si>
    <t xml:space="preserve">STU0353</t>
  </si>
  <si>
    <t xml:space="preserve">Lahiru Velauthapillai</t>
  </si>
  <si>
    <t xml:space="preserve">No. 151, Kotte Road, Negombo</t>
  </si>
  <si>
    <t xml:space="preserve">0702155130</t>
  </si>
  <si>
    <t xml:space="preserve">Nethmi Velauthapillai</t>
  </si>
  <si>
    <t xml:space="preserve">0725708368</t>
  </si>
  <si>
    <t xml:space="preserve">lahiru.velauthapillai353@studentmail.example.lk</t>
  </si>
  <si>
    <t xml:space="preserve">STU0354</t>
  </si>
  <si>
    <t xml:space="preserve">2017/3898</t>
  </si>
  <si>
    <t xml:space="preserve">No. 33, Kotte Road, Ratnapura</t>
  </si>
  <si>
    <t xml:space="preserve">0700491060</t>
  </si>
  <si>
    <t xml:space="preserve">Isuru Rathnayake</t>
  </si>
  <si>
    <t xml:space="preserve">0718364723</t>
  </si>
  <si>
    <t xml:space="preserve">damith.rathnayake354@studentmail.example.lk</t>
  </si>
  <si>
    <t xml:space="preserve">STU0355</t>
  </si>
  <si>
    <t xml:space="preserve">2019/2332</t>
  </si>
  <si>
    <t xml:space="preserve">Kalani Gamage</t>
  </si>
  <si>
    <t xml:space="preserve">No. 187, Kandy Road, Galle</t>
  </si>
  <si>
    <t xml:space="preserve">0718271721</t>
  </si>
  <si>
    <t xml:space="preserve">0753373992</t>
  </si>
  <si>
    <t xml:space="preserve">kalani.gamage355@studentmail.example.lk</t>
  </si>
  <si>
    <t xml:space="preserve">STU0356</t>
  </si>
  <si>
    <t xml:space="preserve">2016/2711</t>
  </si>
  <si>
    <t xml:space="preserve">No. 101, Highlevel Road, Gampaha</t>
  </si>
  <si>
    <t xml:space="preserve">0719544979</t>
  </si>
  <si>
    <t xml:space="preserve">Charith Niyas</t>
  </si>
  <si>
    <t xml:space="preserve">0771279970</t>
  </si>
  <si>
    <t xml:space="preserve">imesha.niyas356@studentmail.example.lk</t>
  </si>
  <si>
    <t xml:space="preserve">STU0357</t>
  </si>
  <si>
    <t xml:space="preserve">2015/2626</t>
  </si>
  <si>
    <t xml:space="preserve">No. 12, Highlevel Road, Kegalle</t>
  </si>
  <si>
    <t xml:space="preserve">0759788897</t>
  </si>
  <si>
    <t xml:space="preserve">Hashan Dissanayake</t>
  </si>
  <si>
    <t xml:space="preserve">0723585238</t>
  </si>
  <si>
    <t xml:space="preserve">janith.dissanayake357@studentmail.example.lk</t>
  </si>
  <si>
    <t xml:space="preserve">STU0358</t>
  </si>
  <si>
    <t xml:space="preserve">2016/4191</t>
  </si>
  <si>
    <t xml:space="preserve">No. 123, Highlevel Road, Kegalle</t>
  </si>
  <si>
    <t xml:space="preserve">0700930967</t>
  </si>
  <si>
    <t xml:space="preserve">0713971912</t>
  </si>
  <si>
    <t xml:space="preserve">kavishka.gunawardena358@studentmail.example.lk</t>
  </si>
  <si>
    <t xml:space="preserve">STU0359</t>
  </si>
  <si>
    <t xml:space="preserve">2020/2767</t>
  </si>
  <si>
    <t xml:space="preserve">Imesha Senanayake</t>
  </si>
  <si>
    <t xml:space="preserve">No. 199, Park Avenue, Negombo</t>
  </si>
  <si>
    <t xml:space="preserve">0704211408</t>
  </si>
  <si>
    <t xml:space="preserve">Shanika Senanayake</t>
  </si>
  <si>
    <t xml:space="preserve">0776825095</t>
  </si>
  <si>
    <t xml:space="preserve">imesha.senanayake359@studentmail.example.lk</t>
  </si>
  <si>
    <t xml:space="preserve">STU0360</t>
  </si>
  <si>
    <t xml:space="preserve">2019/2736</t>
  </si>
  <si>
    <t xml:space="preserve">Sahan Karunaratne</t>
  </si>
  <si>
    <t xml:space="preserve">No. 237, Negombo Road, Gampaha</t>
  </si>
  <si>
    <t xml:space="preserve">0780412027</t>
  </si>
  <si>
    <t xml:space="preserve">Ishara Karunaratne</t>
  </si>
  <si>
    <t xml:space="preserve">0716159273</t>
  </si>
  <si>
    <t xml:space="preserve">sahan.karunaratne360@studentmail.example.lk</t>
  </si>
  <si>
    <t xml:space="preserve">STU0361</t>
  </si>
  <si>
    <t xml:space="preserve">2018/4390</t>
  </si>
  <si>
    <t xml:space="preserve">No. 16, Kandy Road, Colombo</t>
  </si>
  <si>
    <t xml:space="preserve">0765679756</t>
  </si>
  <si>
    <t xml:space="preserve">Vinoth Wickramasinghe</t>
  </si>
  <si>
    <t xml:space="preserve">0784915795</t>
  </si>
  <si>
    <t xml:space="preserve">methma.wickramasinghe361@studentmail.example.lk</t>
  </si>
  <si>
    <t xml:space="preserve">STU0362</t>
  </si>
  <si>
    <t xml:space="preserve">2016/3002</t>
  </si>
  <si>
    <t xml:space="preserve">Vinodhini Karunaratne</t>
  </si>
  <si>
    <t xml:space="preserve">No. 187, Baseline Road, Matara</t>
  </si>
  <si>
    <t xml:space="preserve">0712901507</t>
  </si>
  <si>
    <t xml:space="preserve">Vishaka Karunaratne</t>
  </si>
  <si>
    <t xml:space="preserve">0713806713</t>
  </si>
  <si>
    <t xml:space="preserve">vinodhini.karunaratne362@studentmail.example.lk</t>
  </si>
  <si>
    <t xml:space="preserve">STU0363</t>
  </si>
  <si>
    <t xml:space="preserve">2019/1493</t>
  </si>
  <si>
    <t xml:space="preserve">Niluka Velauthapillai</t>
  </si>
  <si>
    <t xml:space="preserve">No. 199, Kotte Road, Ratnapura</t>
  </si>
  <si>
    <t xml:space="preserve">0752746662</t>
  </si>
  <si>
    <t xml:space="preserve">Erandi Velauthapillai</t>
  </si>
  <si>
    <t xml:space="preserve">0715918327</t>
  </si>
  <si>
    <t xml:space="preserve">niluka.velauthapillai363@studentmail.example.lk</t>
  </si>
  <si>
    <t xml:space="preserve">STU0364</t>
  </si>
  <si>
    <t xml:space="preserve">2020/2297</t>
  </si>
  <si>
    <t xml:space="preserve">Vinoth Gamage</t>
  </si>
  <si>
    <t xml:space="preserve">No. 207, Lake Drive, Kalutara</t>
  </si>
  <si>
    <t xml:space="preserve">0779769873</t>
  </si>
  <si>
    <t xml:space="preserve">Tharaki Gamage</t>
  </si>
  <si>
    <t xml:space="preserve">0771379716</t>
  </si>
  <si>
    <t xml:space="preserve">vinoth.gamage364@studentmail.example.lk</t>
  </si>
  <si>
    <t xml:space="preserve">STU0365</t>
  </si>
  <si>
    <t xml:space="preserve">2019/1676</t>
  </si>
  <si>
    <t xml:space="preserve">Fathima Rinosa Rajapaksa</t>
  </si>
  <si>
    <t xml:space="preserve">No. 210, Park Avenue, Kandy</t>
  </si>
  <si>
    <t xml:space="preserve">0711602041</t>
  </si>
  <si>
    <t xml:space="preserve">Thisara Rajapaksa</t>
  </si>
  <si>
    <t xml:space="preserve">0788135998</t>
  </si>
  <si>
    <t xml:space="preserve">fathima.rajapaksa365@studentmail.example.lk</t>
  </si>
  <si>
    <t xml:space="preserve">STU0366</t>
  </si>
  <si>
    <t xml:space="preserve">2020/1252</t>
  </si>
  <si>
    <t xml:space="preserve">Vinoth Rajendran</t>
  </si>
  <si>
    <t xml:space="preserve">No. 171, Kandy Road, Kandy</t>
  </si>
  <si>
    <t xml:space="preserve">0783691496</t>
  </si>
  <si>
    <t xml:space="preserve">Sachini Rajendran</t>
  </si>
  <si>
    <t xml:space="preserve">0711287942</t>
  </si>
  <si>
    <t xml:space="preserve">vinoth.rajendran366@studentmail.example.lk</t>
  </si>
  <si>
    <t xml:space="preserve">STU0367</t>
  </si>
  <si>
    <t xml:space="preserve">2019/1725</t>
  </si>
  <si>
    <t xml:space="preserve">No. 200, Temple Lane, Ratnapura</t>
  </si>
  <si>
    <t xml:space="preserve">0786240964</t>
  </si>
  <si>
    <t xml:space="preserve">Chathurika Selvarajah</t>
  </si>
  <si>
    <t xml:space="preserve">0789668349</t>
  </si>
  <si>
    <t xml:space="preserve">madushani.selvarajah367@studentmail.example.lk</t>
  </si>
  <si>
    <t xml:space="preserve">STU0368</t>
  </si>
  <si>
    <t xml:space="preserve">2019/3181</t>
  </si>
  <si>
    <t xml:space="preserve">Kasun Rizwan</t>
  </si>
  <si>
    <t xml:space="preserve">No. 102, Temple Lane, Kandy</t>
  </si>
  <si>
    <t xml:space="preserve">0788799160</t>
  </si>
  <si>
    <t xml:space="preserve">Pavithra Rizwan</t>
  </si>
  <si>
    <t xml:space="preserve">0761141319</t>
  </si>
  <si>
    <t xml:space="preserve">kasun.rizwan368@studentmail.example.lk</t>
  </si>
  <si>
    <t xml:space="preserve">STU0369</t>
  </si>
  <si>
    <t xml:space="preserve">2017/2756</t>
  </si>
  <si>
    <t xml:space="preserve">No. 202, Lake Drive, Galle</t>
  </si>
  <si>
    <t xml:space="preserve">0751771824</t>
  </si>
  <si>
    <t xml:space="preserve">Kuganesan Naufer</t>
  </si>
  <si>
    <t xml:space="preserve">0768980880</t>
  </si>
  <si>
    <t xml:space="preserve">oshadi.naufer369@studentmail.example.lk</t>
  </si>
  <si>
    <t xml:space="preserve">STU0370</t>
  </si>
  <si>
    <t xml:space="preserve">2019/2340</t>
  </si>
  <si>
    <t xml:space="preserve">Oshadi Rizwan</t>
  </si>
  <si>
    <t xml:space="preserve">No. 32, Lake Drive, Kandy</t>
  </si>
  <si>
    <t xml:space="preserve">0779207536</t>
  </si>
  <si>
    <t xml:space="preserve">Shanika Rizwan</t>
  </si>
  <si>
    <t xml:space="preserve">0770511716</t>
  </si>
  <si>
    <t xml:space="preserve">oshadi.rizwan370@studentmail.example.lk</t>
  </si>
  <si>
    <t xml:space="preserve">STU0371</t>
  </si>
  <si>
    <t xml:space="preserve">2015/4305</t>
  </si>
  <si>
    <t xml:space="preserve">No. 97, Station Road, Kalutara</t>
  </si>
  <si>
    <t xml:space="preserve">0788966760</t>
  </si>
  <si>
    <t xml:space="preserve">Sahan Perera</t>
  </si>
  <si>
    <t xml:space="preserve">0726420456</t>
  </si>
  <si>
    <t xml:space="preserve">priyanka.perera371@studentmail.example.lk</t>
  </si>
  <si>
    <t xml:space="preserve">STU0372</t>
  </si>
  <si>
    <t xml:space="preserve">Kavindi Ranasinghe</t>
  </si>
  <si>
    <t xml:space="preserve">No. 178, Station Road, Kandy</t>
  </si>
  <si>
    <t xml:space="preserve">0782122427</t>
  </si>
  <si>
    <t xml:space="preserve">Gayan Perera</t>
  </si>
  <si>
    <t xml:space="preserve">0757746259</t>
  </si>
  <si>
    <t xml:space="preserve">kavindi.ranasinghe372@studentmail.example.lk</t>
  </si>
  <si>
    <t xml:space="preserve">STU0373</t>
  </si>
  <si>
    <t xml:space="preserve">2017/4766</t>
  </si>
  <si>
    <t xml:space="preserve">Senura Hettiarachchi</t>
  </si>
  <si>
    <t xml:space="preserve">No. 227, Temple Lane, Kurunegala</t>
  </si>
  <si>
    <t xml:space="preserve">0706596807</t>
  </si>
  <si>
    <t xml:space="preserve">0765254824</t>
  </si>
  <si>
    <t xml:space="preserve">senura.hettiarachchi373@studentmail.example.lk</t>
  </si>
  <si>
    <t xml:space="preserve">STU0374</t>
  </si>
  <si>
    <t xml:space="preserve">2015/2169</t>
  </si>
  <si>
    <t xml:space="preserve">Sachin Bandara</t>
  </si>
  <si>
    <t xml:space="preserve">No. 199, Station Road, Gampaha</t>
  </si>
  <si>
    <t xml:space="preserve">0704272038</t>
  </si>
  <si>
    <t xml:space="preserve">0766217508</t>
  </si>
  <si>
    <t xml:space="preserve">sachin.bandara374@studentmail.example.lk</t>
  </si>
  <si>
    <t xml:space="preserve">STU0375</t>
  </si>
  <si>
    <t xml:space="preserve">2018/4513</t>
  </si>
  <si>
    <t xml:space="preserve">Ridmal Karunaratne</t>
  </si>
  <si>
    <t xml:space="preserve">No. 130, Highlevel Road, Kegalle</t>
  </si>
  <si>
    <t xml:space="preserve">0716524445</t>
  </si>
  <si>
    <t xml:space="preserve">0724608385</t>
  </si>
  <si>
    <t xml:space="preserve">ridmal.karunaratne375@studentmail.example.lk</t>
  </si>
  <si>
    <t xml:space="preserve">STU0376</t>
  </si>
  <si>
    <t xml:space="preserve">2018/4430</t>
  </si>
  <si>
    <t xml:space="preserve">No. 60, Galle Road, Negombo</t>
  </si>
  <si>
    <t xml:space="preserve">0789864242</t>
  </si>
  <si>
    <t xml:space="preserve">0708397283</t>
  </si>
  <si>
    <t xml:space="preserve">selvam.jayasinghe376@studentmail.example.lk</t>
  </si>
  <si>
    <t xml:space="preserve">STU0377</t>
  </si>
  <si>
    <t xml:space="preserve">2017/1258</t>
  </si>
  <si>
    <t xml:space="preserve">Nipun Perera</t>
  </si>
  <si>
    <t xml:space="preserve">No. 12, Galle Road, Kegalle</t>
  </si>
  <si>
    <t xml:space="preserve">0789876108</t>
  </si>
  <si>
    <t xml:space="preserve">Pavithra Perera</t>
  </si>
  <si>
    <t xml:space="preserve">0714356140</t>
  </si>
  <si>
    <t xml:space="preserve">nipun.perera377@studentmail.example.lk</t>
  </si>
  <si>
    <t xml:space="preserve">STU0378</t>
  </si>
  <si>
    <t xml:space="preserve">2016/2872</t>
  </si>
  <si>
    <t xml:space="preserve">Tharushi Fernando</t>
  </si>
  <si>
    <t xml:space="preserve">No. 209, Highlevel Road, Kurunegala</t>
  </si>
  <si>
    <t xml:space="preserve">0779671500</t>
  </si>
  <si>
    <t xml:space="preserve">Kasun Fernando</t>
  </si>
  <si>
    <t xml:space="preserve">0756664110</t>
  </si>
  <si>
    <t xml:space="preserve">tharushi.fernando378@studentmail.example.lk</t>
  </si>
  <si>
    <t xml:space="preserve">STU0379</t>
  </si>
  <si>
    <t xml:space="preserve">2018/3269</t>
  </si>
  <si>
    <t xml:space="preserve">Vinodhini Senanayake</t>
  </si>
  <si>
    <t xml:space="preserve">No. 201, Galle Road, Kegalle</t>
  </si>
  <si>
    <t xml:space="preserve">0708688891</t>
  </si>
  <si>
    <t xml:space="preserve">Ishara Senanayake</t>
  </si>
  <si>
    <t xml:space="preserve">0758791505</t>
  </si>
  <si>
    <t xml:space="preserve">vinodhini.senanayake379@studentmail.example.lk</t>
  </si>
  <si>
    <t xml:space="preserve">STU0380</t>
  </si>
  <si>
    <t xml:space="preserve">2019/1322</t>
  </si>
  <si>
    <t xml:space="preserve">Wathsala Careem</t>
  </si>
  <si>
    <t xml:space="preserve">No. 86, Park Avenue, Kurunegala</t>
  </si>
  <si>
    <t xml:space="preserve">0717774127</t>
  </si>
  <si>
    <t xml:space="preserve">Ridmal Mohamed</t>
  </si>
  <si>
    <t xml:space="preserve">0726921188</t>
  </si>
  <si>
    <t xml:space="preserve">wathsala.careem380@studentmail.example.lk</t>
  </si>
  <si>
    <t xml:space="preserve">STU0381</t>
  </si>
  <si>
    <t xml:space="preserve">2019/1011</t>
  </si>
  <si>
    <t xml:space="preserve">Vidushi Kandasamy</t>
  </si>
  <si>
    <t xml:space="preserve">No. 1, Lake Drive, Colombo</t>
  </si>
  <si>
    <t xml:space="preserve">0770163564</t>
  </si>
  <si>
    <t xml:space="preserve">Dilini Kandasamy</t>
  </si>
  <si>
    <t xml:space="preserve">0717232472</t>
  </si>
  <si>
    <t xml:space="preserve">vidushi.kandasamy381@studentmail.example.lk</t>
  </si>
  <si>
    <t xml:space="preserve">STU0382</t>
  </si>
  <si>
    <t xml:space="preserve">2016/1025</t>
  </si>
  <si>
    <t xml:space="preserve">No. 193, Galle Road, Negombo</t>
  </si>
  <si>
    <t xml:space="preserve">0719509271</t>
  </si>
  <si>
    <t xml:space="preserve">Amaya Gunawardena</t>
  </si>
  <si>
    <t xml:space="preserve">0781526105</t>
  </si>
  <si>
    <t xml:space="preserve">imesha.gunawardena382@studentmail.example.lk</t>
  </si>
  <si>
    <t xml:space="preserve">STU0383</t>
  </si>
  <si>
    <t xml:space="preserve">2019/4593</t>
  </si>
  <si>
    <t xml:space="preserve">Sanduni Perera</t>
  </si>
  <si>
    <t xml:space="preserve">No. 166, Negombo Road, Ratnapura</t>
  </si>
  <si>
    <t xml:space="preserve">0767698936</t>
  </si>
  <si>
    <t xml:space="preserve">Kuganesan Perera</t>
  </si>
  <si>
    <t xml:space="preserve">0722944716</t>
  </si>
  <si>
    <t xml:space="preserve">sanduni.perera383@studentmail.example.lk</t>
  </si>
  <si>
    <t xml:space="preserve">STU0384</t>
  </si>
  <si>
    <t xml:space="preserve">2018/1281</t>
  </si>
  <si>
    <t xml:space="preserve">Dilini Dissanayake</t>
  </si>
  <si>
    <t xml:space="preserve">No. 135, Kotte Road, Kurunegala</t>
  </si>
  <si>
    <t xml:space="preserve">0782680648</t>
  </si>
  <si>
    <t xml:space="preserve">0750673983</t>
  </si>
  <si>
    <t xml:space="preserve">dilini.dissanayake384@studentmail.example.lk</t>
  </si>
  <si>
    <t xml:space="preserve">STU0385</t>
  </si>
  <si>
    <t xml:space="preserve">2018/2443</t>
  </si>
  <si>
    <t xml:space="preserve">Dinithi Jayasinghe</t>
  </si>
  <si>
    <t xml:space="preserve">No. 187, Galle Road, Ratnapura</t>
  </si>
  <si>
    <t xml:space="preserve">0718551074</t>
  </si>
  <si>
    <t xml:space="preserve">Senura Jayasinghe</t>
  </si>
  <si>
    <t xml:space="preserve">0770913111</t>
  </si>
  <si>
    <t xml:space="preserve">dinithi.jayasinghe385@studentmail.example.lk</t>
  </si>
  <si>
    <t xml:space="preserve">STU0386</t>
  </si>
  <si>
    <t xml:space="preserve">2016/4571</t>
  </si>
  <si>
    <t xml:space="preserve">Lahiru Mendis</t>
  </si>
  <si>
    <t xml:space="preserve">No. 180, Galle Road, Negombo</t>
  </si>
  <si>
    <t xml:space="preserve">0721532594</t>
  </si>
  <si>
    <t xml:space="preserve">Sachini Mendis</t>
  </si>
  <si>
    <t xml:space="preserve">0759507407</t>
  </si>
  <si>
    <t xml:space="preserve">lahiru.mendis386@studentmail.example.lk</t>
  </si>
  <si>
    <t xml:space="preserve">STU0387</t>
  </si>
  <si>
    <t xml:space="preserve">2016/1516</t>
  </si>
  <si>
    <t xml:space="preserve">Pasindu Perera</t>
  </si>
  <si>
    <t xml:space="preserve">No. 179, Highlevel Road, Negombo</t>
  </si>
  <si>
    <t xml:space="preserve">0718491359</t>
  </si>
  <si>
    <t xml:space="preserve">0762855359</t>
  </si>
  <si>
    <t xml:space="preserve">pasindu.perera387@studentmail.example.lk</t>
  </si>
  <si>
    <t xml:space="preserve">STU0388</t>
  </si>
  <si>
    <t xml:space="preserve">2019/4530</t>
  </si>
  <si>
    <t xml:space="preserve">Kavishka Senanayake</t>
  </si>
  <si>
    <t xml:space="preserve">No. 86, Baseline Road, Colombo</t>
  </si>
  <si>
    <t xml:space="preserve">0702501736</t>
  </si>
  <si>
    <t xml:space="preserve">Vidushi Senanayake</t>
  </si>
  <si>
    <t xml:space="preserve">0724262417</t>
  </si>
  <si>
    <t xml:space="preserve">kavishka.senanayake388@studentmail.example.lk</t>
  </si>
  <si>
    <t xml:space="preserve">STU0389</t>
  </si>
  <si>
    <t xml:space="preserve">2019/3609</t>
  </si>
  <si>
    <t xml:space="preserve">Vinoth Fernando</t>
  </si>
  <si>
    <t xml:space="preserve">No. 227, Kandy Road, Negombo</t>
  </si>
  <si>
    <t xml:space="preserve">0756732904</t>
  </si>
  <si>
    <t xml:space="preserve">0775759887</t>
  </si>
  <si>
    <t xml:space="preserve">vinoth.fernando389@studentmail.example.lk</t>
  </si>
  <si>
    <t xml:space="preserve">STU0390</t>
  </si>
  <si>
    <t xml:space="preserve">2020/1372</t>
  </si>
  <si>
    <t xml:space="preserve">Wathsala Silva</t>
  </si>
  <si>
    <t xml:space="preserve">No. 111, Negombo Road, Negombo</t>
  </si>
  <si>
    <t xml:space="preserve">0779215818</t>
  </si>
  <si>
    <t xml:space="preserve">Sithara Silva</t>
  </si>
  <si>
    <t xml:space="preserve">0767059161</t>
  </si>
  <si>
    <t xml:space="preserve">wathsala.silva390@studentmail.example.lk</t>
  </si>
  <si>
    <t xml:space="preserve">STU0391</t>
  </si>
  <si>
    <t xml:space="preserve">2017/3692</t>
  </si>
  <si>
    <t xml:space="preserve">Lakshan Hashim</t>
  </si>
  <si>
    <t xml:space="preserve">No. 14, Negombo Road, Kegalle</t>
  </si>
  <si>
    <t xml:space="preserve">0709482322</t>
  </si>
  <si>
    <t xml:space="preserve">Dinithi Hashim</t>
  </si>
  <si>
    <t xml:space="preserve">0714144743</t>
  </si>
  <si>
    <t xml:space="preserve">lakshan.hashim391@studentmail.example.lk</t>
  </si>
  <si>
    <t xml:space="preserve">STU0392</t>
  </si>
  <si>
    <t xml:space="preserve">2020/2667</t>
  </si>
  <si>
    <t xml:space="preserve">Dilshan Mendis</t>
  </si>
  <si>
    <t xml:space="preserve">No. 240, Temple Lane, Matara</t>
  </si>
  <si>
    <t xml:space="preserve">0755691983</t>
  </si>
  <si>
    <t xml:space="preserve">Nipun Mendis</t>
  </si>
  <si>
    <t xml:space="preserve">0701029161</t>
  </si>
  <si>
    <t xml:space="preserve">dilshan.mendis392@studentmail.example.lk</t>
  </si>
  <si>
    <t xml:space="preserve">STU0393</t>
  </si>
  <si>
    <t xml:space="preserve">2018/4808</t>
  </si>
  <si>
    <t xml:space="preserve">No. 149, Highlevel Road, Kalutara</t>
  </si>
  <si>
    <t xml:space="preserve">0720766349</t>
  </si>
  <si>
    <t xml:space="preserve">Dilini Murugesu</t>
  </si>
  <si>
    <t xml:space="preserve">0783396504</t>
  </si>
  <si>
    <t xml:space="preserve">sithara.murugesu393@studentmail.example.lk</t>
  </si>
  <si>
    <t xml:space="preserve">STU0394</t>
  </si>
  <si>
    <t xml:space="preserve">2017/3695</t>
  </si>
  <si>
    <t xml:space="preserve">Mohamed Fazil Thillainathan</t>
  </si>
  <si>
    <t xml:space="preserve">No. 87, Kotte Road, Kandy</t>
  </si>
  <si>
    <t xml:space="preserve">0774725058</t>
  </si>
  <si>
    <t xml:space="preserve">Charith Thillainathan</t>
  </si>
  <si>
    <t xml:space="preserve">0703343031</t>
  </si>
  <si>
    <t xml:space="preserve">mohamed.thillainathan394@studentmail.example.lk</t>
  </si>
  <si>
    <t xml:space="preserve">STU0395</t>
  </si>
  <si>
    <t xml:space="preserve">2019/4814</t>
  </si>
  <si>
    <t xml:space="preserve">Thisara Kandasamy</t>
  </si>
  <si>
    <t xml:space="preserve">No. 33, Kandy Road, Kandy</t>
  </si>
  <si>
    <t xml:space="preserve">0724508095</t>
  </si>
  <si>
    <t xml:space="preserve">Pavithra Kandasamy</t>
  </si>
  <si>
    <t xml:space="preserve">0789481526</t>
  </si>
  <si>
    <t xml:space="preserve">thisara.kandasamy395@studentmail.example.lk</t>
  </si>
  <si>
    <t xml:space="preserve">STU0396</t>
  </si>
  <si>
    <t xml:space="preserve">2018/3665</t>
  </si>
  <si>
    <t xml:space="preserve">Ridmal Ranasinghe</t>
  </si>
  <si>
    <t xml:space="preserve">No. 78, Baseline Road, Kalutara</t>
  </si>
  <si>
    <t xml:space="preserve">0700796373</t>
  </si>
  <si>
    <t xml:space="preserve">Vihanga Rajapaksa</t>
  </si>
  <si>
    <t xml:space="preserve">0710081785</t>
  </si>
  <si>
    <t xml:space="preserve">ridmal.ranasinghe396@studentmail.example.lk</t>
  </si>
  <si>
    <t xml:space="preserve">STU0397</t>
  </si>
  <si>
    <t xml:space="preserve">2016/1911</t>
  </si>
  <si>
    <t xml:space="preserve">Ahamed Niyas Kumara</t>
  </si>
  <si>
    <t xml:space="preserve">No. 103, Baseline Road, Galle</t>
  </si>
  <si>
    <t xml:space="preserve">0703701400</t>
  </si>
  <si>
    <t xml:space="preserve">Yohan Kumara</t>
  </si>
  <si>
    <t xml:space="preserve">0785278105</t>
  </si>
  <si>
    <t xml:space="preserve">ahamed.kumara397@studentmail.example.lk</t>
  </si>
  <si>
    <t xml:space="preserve">STU0398</t>
  </si>
  <si>
    <t xml:space="preserve">2016/4150</t>
  </si>
  <si>
    <t xml:space="preserve">Nipun Velauthapillai</t>
  </si>
  <si>
    <t xml:space="preserve">No. 51, Kandy Road, Gampaha</t>
  </si>
  <si>
    <t xml:space="preserve">0759552862</t>
  </si>
  <si>
    <t xml:space="preserve">0770929735</t>
  </si>
  <si>
    <t xml:space="preserve">nipun.velauthapillai398@studentmail.example.lk</t>
  </si>
  <si>
    <t xml:space="preserve">STU0399</t>
  </si>
  <si>
    <t xml:space="preserve">2016/1356</t>
  </si>
  <si>
    <t xml:space="preserve">Senuri Selvarajah</t>
  </si>
  <si>
    <t xml:space="preserve">No. 13, Park Avenue, Matara</t>
  </si>
  <si>
    <t xml:space="preserve">0718269718</t>
  </si>
  <si>
    <t xml:space="preserve">Tharushi Selvarajah</t>
  </si>
  <si>
    <t xml:space="preserve">0782360107</t>
  </si>
  <si>
    <t xml:space="preserve">senuri.selvarajah399@studentmail.example.lk</t>
  </si>
  <si>
    <t xml:space="preserve">STU0400</t>
  </si>
  <si>
    <t xml:space="preserve">2017/4900</t>
  </si>
  <si>
    <t xml:space="preserve">No. 40, Baseline Road, Kegalle</t>
  </si>
  <si>
    <t xml:space="preserve">0779222560</t>
  </si>
  <si>
    <t xml:space="preserve">Methma Dissanayake</t>
  </si>
  <si>
    <t xml:space="preserve">0752953506</t>
  </si>
  <si>
    <t xml:space="preserve">kavindi.dissanayake400@studentmail.example.lk</t>
  </si>
  <si>
    <t xml:space="preserve">STU0401</t>
  </si>
  <si>
    <t xml:space="preserve">2015/3707</t>
  </si>
  <si>
    <t xml:space="preserve">Sachini Perera</t>
  </si>
  <si>
    <t xml:space="preserve">No. 185, Temple Lane, Kurunegala</t>
  </si>
  <si>
    <t xml:space="preserve">0751547055</t>
  </si>
  <si>
    <t xml:space="preserve">0729121516</t>
  </si>
  <si>
    <t xml:space="preserve">sachini.perera401@studentmail.example.lk</t>
  </si>
  <si>
    <t xml:space="preserve">STU0402</t>
  </si>
  <si>
    <t xml:space="preserve">2016/1074</t>
  </si>
  <si>
    <t xml:space="preserve">Vishaka Ranasinghe</t>
  </si>
  <si>
    <t xml:space="preserve">No. 160, Temple Lane, Negombo</t>
  </si>
  <si>
    <t xml:space="preserve">0701241393</t>
  </si>
  <si>
    <t xml:space="preserve">Erandi Ranasinghe</t>
  </si>
  <si>
    <t xml:space="preserve">0786967897</t>
  </si>
  <si>
    <t xml:space="preserve">vishaka.ranasinghe402@studentmail.example.lk</t>
  </si>
  <si>
    <t xml:space="preserve">STU0403</t>
  </si>
  <si>
    <t xml:space="preserve">2019/4853</t>
  </si>
  <si>
    <t xml:space="preserve">Erandi Niyas</t>
  </si>
  <si>
    <t xml:space="preserve">No. 162, Station Road, Kurunegala</t>
  </si>
  <si>
    <t xml:space="preserve">0723089523</t>
  </si>
  <si>
    <t xml:space="preserve">Bhanuka Niyas</t>
  </si>
  <si>
    <t xml:space="preserve">0712021915</t>
  </si>
  <si>
    <t xml:space="preserve">erandi.niyas403@studentmail.example.lk</t>
  </si>
  <si>
    <t xml:space="preserve">STU0404</t>
  </si>
  <si>
    <t xml:space="preserve">2017/3344</t>
  </si>
  <si>
    <t xml:space="preserve">Rashmi Weerasinghe</t>
  </si>
  <si>
    <t xml:space="preserve">No. 52, Station Road, Kurunegala</t>
  </si>
  <si>
    <t xml:space="preserve">0750450063</t>
  </si>
  <si>
    <t xml:space="preserve">Ravindu Weerasinghe</t>
  </si>
  <si>
    <t xml:space="preserve">0725373096</t>
  </si>
  <si>
    <t xml:space="preserve">rashmi.weerasinghe404@studentmail.example.lk</t>
  </si>
  <si>
    <t xml:space="preserve">STU0405</t>
  </si>
  <si>
    <t xml:space="preserve">2018/2507</t>
  </si>
  <si>
    <t xml:space="preserve">Anjali Jayasinghe</t>
  </si>
  <si>
    <t xml:space="preserve">No. 53, Station Road, Kalutara</t>
  </si>
  <si>
    <t xml:space="preserve">0701594898</t>
  </si>
  <si>
    <t xml:space="preserve">Imesha Jayasinghe</t>
  </si>
  <si>
    <t xml:space="preserve">0789596546</t>
  </si>
  <si>
    <t xml:space="preserve">anjali.jayasinghe405@studentmail.example.lk</t>
  </si>
  <si>
    <t xml:space="preserve">STU0406</t>
  </si>
  <si>
    <t xml:space="preserve">2017/2080</t>
  </si>
  <si>
    <t xml:space="preserve">Dinithi Rajendran</t>
  </si>
  <si>
    <t xml:space="preserve">No. 85, Park Avenue, Galle</t>
  </si>
  <si>
    <t xml:space="preserve">0709739889</t>
  </si>
  <si>
    <t xml:space="preserve">Charith Rajendran</t>
  </si>
  <si>
    <t xml:space="preserve">0784132109</t>
  </si>
  <si>
    <t xml:space="preserve">dinithi.rajendran406@studentmail.example.lk</t>
  </si>
  <si>
    <t xml:space="preserve">STU0407</t>
  </si>
  <si>
    <t xml:space="preserve">2018/1607</t>
  </si>
  <si>
    <t xml:space="preserve">Dilshan Weerasinghe</t>
  </si>
  <si>
    <t xml:space="preserve">No. 189, Baseline Road, Negombo</t>
  </si>
  <si>
    <t xml:space="preserve">0701375658</t>
  </si>
  <si>
    <t xml:space="preserve">Tharindu Weerasinghe</t>
  </si>
  <si>
    <t xml:space="preserve">0779635957</t>
  </si>
  <si>
    <t xml:space="preserve">dilshan.weerasinghe407@studentmail.example.lk</t>
  </si>
  <si>
    <t xml:space="preserve">STU0408</t>
  </si>
  <si>
    <t xml:space="preserve">2016/2873</t>
  </si>
  <si>
    <t xml:space="preserve">Senura Kumara</t>
  </si>
  <si>
    <t xml:space="preserve">No. 5, Highlevel Road, Gampaha</t>
  </si>
  <si>
    <t xml:space="preserve">0777968680</t>
  </si>
  <si>
    <t xml:space="preserve">0718529469</t>
  </si>
  <si>
    <t xml:space="preserve">senura.kumara408@studentmail.example.lk</t>
  </si>
  <si>
    <t xml:space="preserve">STU0409</t>
  </si>
  <si>
    <t xml:space="preserve">2016/4879</t>
  </si>
  <si>
    <t xml:space="preserve">No. 47, Temple Lane, Kurunegala</t>
  </si>
  <si>
    <t xml:space="preserve">0772332829</t>
  </si>
  <si>
    <t xml:space="preserve">0783020256</t>
  </si>
  <si>
    <t xml:space="preserve">vihanga.jayasinghe409@studentmail.example.lk</t>
  </si>
  <si>
    <t xml:space="preserve">STU0410</t>
  </si>
  <si>
    <t xml:space="preserve">2020/1710</t>
  </si>
  <si>
    <t xml:space="preserve">Sachini Hashim</t>
  </si>
  <si>
    <t xml:space="preserve">No. 234, Kotte Road, Ratnapura</t>
  </si>
  <si>
    <t xml:space="preserve">0764723034</t>
  </si>
  <si>
    <t xml:space="preserve">Nipun Hashim</t>
  </si>
  <si>
    <t xml:space="preserve">0772028471</t>
  </si>
  <si>
    <t xml:space="preserve">sachini.hashim410@studentmail.example.lk</t>
  </si>
  <si>
    <t xml:space="preserve">STU0411</t>
  </si>
  <si>
    <t xml:space="preserve">2018/3988</t>
  </si>
  <si>
    <t xml:space="preserve">Nethmi Rajendran</t>
  </si>
  <si>
    <t xml:space="preserve">No. 127, Baseline Road, Kalutara</t>
  </si>
  <si>
    <t xml:space="preserve">0751992406</t>
  </si>
  <si>
    <t xml:space="preserve">Aysha Nimna Rajendran</t>
  </si>
  <si>
    <t xml:space="preserve">0728387272</t>
  </si>
  <si>
    <t xml:space="preserve">nethmi.rajendran411@studentmail.example.lk</t>
  </si>
  <si>
    <t xml:space="preserve">STU0412</t>
  </si>
  <si>
    <t xml:space="preserve">2016/3854</t>
  </si>
  <si>
    <t xml:space="preserve">No. 117, Galle Road, Matara</t>
  </si>
  <si>
    <t xml:space="preserve">0720392519</t>
  </si>
  <si>
    <t xml:space="preserve">0769452951</t>
  </si>
  <si>
    <t xml:space="preserve">lahiru.jayasinghe412@studentmail.example.lk</t>
  </si>
  <si>
    <t xml:space="preserve">STU0413</t>
  </si>
  <si>
    <t xml:space="preserve">2017/3835</t>
  </si>
  <si>
    <t xml:space="preserve">Yashodha Sivakumar</t>
  </si>
  <si>
    <t xml:space="preserve">No. 114, Galle Road, Kalutara</t>
  </si>
  <si>
    <t xml:space="preserve">0768789950</t>
  </si>
  <si>
    <t xml:space="preserve">0727020596</t>
  </si>
  <si>
    <t xml:space="preserve">yashodha.sivakumar413@studentmail.example.lk</t>
  </si>
  <si>
    <t xml:space="preserve">STU0414</t>
  </si>
  <si>
    <t xml:space="preserve">2018/1071</t>
  </si>
  <si>
    <t xml:space="preserve">Priyanka Hashim</t>
  </si>
  <si>
    <t xml:space="preserve">No. 208, Lake Drive, Kandy</t>
  </si>
  <si>
    <t xml:space="preserve">0715922941</t>
  </si>
  <si>
    <t xml:space="preserve">0715630295</t>
  </si>
  <si>
    <t xml:space="preserve">priyanka.hashim414@studentmail.example.lk</t>
  </si>
  <si>
    <t xml:space="preserve">STU0415</t>
  </si>
  <si>
    <t xml:space="preserve">2016/3964</t>
  </si>
  <si>
    <t xml:space="preserve">Yashodha Rizwan</t>
  </si>
  <si>
    <t xml:space="preserve">No. 219, Kotte Road, Kandy</t>
  </si>
  <si>
    <t xml:space="preserve">0711221215</t>
  </si>
  <si>
    <t xml:space="preserve">Suresh Rizwan</t>
  </si>
  <si>
    <t xml:space="preserve">0774815826</t>
  </si>
  <si>
    <t xml:space="preserve">yashodha.rizwan415@studentmail.example.lk</t>
  </si>
  <si>
    <t xml:space="preserve">STU0416</t>
  </si>
  <si>
    <t xml:space="preserve">2018/4178</t>
  </si>
  <si>
    <t xml:space="preserve">Shanika Careem</t>
  </si>
  <si>
    <t xml:space="preserve">No. 192, Highlevel Road, Negombo</t>
  </si>
  <si>
    <t xml:space="preserve">0766234219</t>
  </si>
  <si>
    <t xml:space="preserve">Vinoth Murugesu</t>
  </si>
  <si>
    <t xml:space="preserve">0706221320</t>
  </si>
  <si>
    <t xml:space="preserve">shanika.careem416@studentmail.example.lk</t>
  </si>
  <si>
    <t xml:space="preserve">STU0417</t>
  </si>
  <si>
    <t xml:space="preserve">2020/1454</t>
  </si>
  <si>
    <t xml:space="preserve">Senura Gamage</t>
  </si>
  <si>
    <t xml:space="preserve">No. 6, Negombo Road, Colombo</t>
  </si>
  <si>
    <t xml:space="preserve">0710532853</t>
  </si>
  <si>
    <t xml:space="preserve">Charith Velauthapillai</t>
  </si>
  <si>
    <t xml:space="preserve">0766310505</t>
  </si>
  <si>
    <t xml:space="preserve">senura.gamage417@studentmail.example.lk</t>
  </si>
  <si>
    <t xml:space="preserve">STU0418</t>
  </si>
  <si>
    <t xml:space="preserve">2019/4612</t>
  </si>
  <si>
    <t xml:space="preserve">No. 105, Kandy Road, Kegalle</t>
  </si>
  <si>
    <t xml:space="preserve">0721862671</t>
  </si>
  <si>
    <t xml:space="preserve">Thisara Mohamed</t>
  </si>
  <si>
    <t xml:space="preserve">0706841013</t>
  </si>
  <si>
    <t xml:space="preserve">nadeesha.mohamed418@studentmail.example.lk</t>
  </si>
  <si>
    <t xml:space="preserve">STU0419</t>
  </si>
  <si>
    <t xml:space="preserve">2015/4381</t>
  </si>
  <si>
    <t xml:space="preserve">Priyanka Sivakumar</t>
  </si>
  <si>
    <t xml:space="preserve">No. 64, Kandy Road, Ratnapura</t>
  </si>
  <si>
    <t xml:space="preserve">0707976178</t>
  </si>
  <si>
    <t xml:space="preserve">Risma Nawfar Sivakumar</t>
  </si>
  <si>
    <t xml:space="preserve">0771596983</t>
  </si>
  <si>
    <t xml:space="preserve">priyanka.sivakumar419@studentmail.example.lk</t>
  </si>
  <si>
    <t xml:space="preserve">STU0420</t>
  </si>
  <si>
    <t xml:space="preserve">2020/3467</t>
  </si>
  <si>
    <t xml:space="preserve">Pasindu Rizwan</t>
  </si>
  <si>
    <t xml:space="preserve">No. 149, Lake Drive, Colombo</t>
  </si>
  <si>
    <t xml:space="preserve">0754729669</t>
  </si>
  <si>
    <t xml:space="preserve">Thilini Rizwan</t>
  </si>
  <si>
    <t xml:space="preserve">0721799670</t>
  </si>
  <si>
    <t xml:space="preserve">pasindu.rizwan420@studentmail.example.lk</t>
  </si>
  <si>
    <t xml:space="preserve">STU0421</t>
  </si>
  <si>
    <t xml:space="preserve">2017/2559</t>
  </si>
  <si>
    <t xml:space="preserve">Methma Madushanka</t>
  </si>
  <si>
    <t xml:space="preserve">No. 203, Lake Drive, Kandy</t>
  </si>
  <si>
    <t xml:space="preserve">0778605210</t>
  </si>
  <si>
    <t xml:space="preserve">Kuganesan Madushanka</t>
  </si>
  <si>
    <t xml:space="preserve">0706270664</t>
  </si>
  <si>
    <t xml:space="preserve">methma.madushanka421@studentmail.example.lk</t>
  </si>
  <si>
    <t xml:space="preserve">STU0422</t>
  </si>
  <si>
    <t xml:space="preserve">2017/1002</t>
  </si>
  <si>
    <t xml:space="preserve">Imesha Perera</t>
  </si>
  <si>
    <t xml:space="preserve">No. 228, Lake Drive, Kurunegala</t>
  </si>
  <si>
    <t xml:space="preserve">0773056418</t>
  </si>
  <si>
    <t xml:space="preserve">Madushani Perera</t>
  </si>
  <si>
    <t xml:space="preserve">0729378467</t>
  </si>
  <si>
    <t xml:space="preserve">imesha.perera422@studentmail.example.lk</t>
  </si>
  <si>
    <t xml:space="preserve">STU0423</t>
  </si>
  <si>
    <t xml:space="preserve">2018/2611</t>
  </si>
  <si>
    <t xml:space="preserve">No. 210, Baseline Road, Kandy</t>
  </si>
  <si>
    <t xml:space="preserve">0720622155</t>
  </si>
  <si>
    <t xml:space="preserve">Amaya Murugesu</t>
  </si>
  <si>
    <t xml:space="preserve">0769672562</t>
  </si>
  <si>
    <t xml:space="preserve">bhanuka.gamage423@studentmail.example.lk</t>
  </si>
  <si>
    <t xml:space="preserve">STU0424</t>
  </si>
  <si>
    <t xml:space="preserve">2019/4401</t>
  </si>
  <si>
    <t xml:space="preserve">No. 27, Negombo Road, Ratnapura</t>
  </si>
  <si>
    <t xml:space="preserve">0710362211</t>
  </si>
  <si>
    <t xml:space="preserve">Imran Naufer Karunaratne</t>
  </si>
  <si>
    <t xml:space="preserve">0777327726</t>
  </si>
  <si>
    <t xml:space="preserve">sahan.karunaratne424@studentmail.example.lk</t>
  </si>
  <si>
    <t xml:space="preserve">STU0425</t>
  </si>
  <si>
    <t xml:space="preserve">2020/2376</t>
  </si>
  <si>
    <t xml:space="preserve">Priyanka Kandasamy</t>
  </si>
  <si>
    <t xml:space="preserve">No. 115, Temple Lane, Kalutara</t>
  </si>
  <si>
    <t xml:space="preserve">0727353524</t>
  </si>
  <si>
    <t xml:space="preserve">Mohamed Fazil Kandasamy</t>
  </si>
  <si>
    <t xml:space="preserve">0758417159</t>
  </si>
  <si>
    <t xml:space="preserve">priyanka.kandasamy425@studentmail.example.lk</t>
  </si>
  <si>
    <t xml:space="preserve">STU0426</t>
  </si>
  <si>
    <t xml:space="preserve">2016/2749</t>
  </si>
  <si>
    <t xml:space="preserve">Senura Gunawardena</t>
  </si>
  <si>
    <t xml:space="preserve">No. 204, Negombo Road, Matara</t>
  </si>
  <si>
    <t xml:space="preserve">0767304862</t>
  </si>
  <si>
    <t xml:space="preserve">0721521746</t>
  </si>
  <si>
    <t xml:space="preserve">senura.gunawardena426@studentmail.example.lk</t>
  </si>
  <si>
    <t xml:space="preserve">STU0427</t>
  </si>
  <si>
    <t xml:space="preserve">2019/3426</t>
  </si>
  <si>
    <t xml:space="preserve">Priyanka Gunawardena</t>
  </si>
  <si>
    <t xml:space="preserve">No. 102, Negombo Road, Ratnapura</t>
  </si>
  <si>
    <t xml:space="preserve">0769466450</t>
  </si>
  <si>
    <t xml:space="preserve">0769990010</t>
  </si>
  <si>
    <t xml:space="preserve">priyanka.gunawardena427@studentmail.example.lk</t>
  </si>
  <si>
    <t xml:space="preserve">STU0428</t>
  </si>
  <si>
    <t xml:space="preserve">2018/2345</t>
  </si>
  <si>
    <t xml:space="preserve">Fathima Rinosa Kandasamy</t>
  </si>
  <si>
    <t xml:space="preserve">No. 216, Lake Drive, Colombo</t>
  </si>
  <si>
    <t xml:space="preserve">0702179789</t>
  </si>
  <si>
    <t xml:space="preserve">0771248839</t>
  </si>
  <si>
    <t xml:space="preserve">fathima.kandasamy428@studentmail.example.lk</t>
  </si>
  <si>
    <t xml:space="preserve">STU0429</t>
  </si>
  <si>
    <t xml:space="preserve">2015/4417</t>
  </si>
  <si>
    <t xml:space="preserve">Amaya Niyas</t>
  </si>
  <si>
    <t xml:space="preserve">No. 211, Galle Road, Ratnapura</t>
  </si>
  <si>
    <t xml:space="preserve">0779217790</t>
  </si>
  <si>
    <t xml:space="preserve">Wathsala Niyas</t>
  </si>
  <si>
    <t xml:space="preserve">0725286693</t>
  </si>
  <si>
    <t xml:space="preserve">amaya.niyas429@studentmail.example.lk</t>
  </si>
  <si>
    <t xml:space="preserve">STU0430</t>
  </si>
  <si>
    <t xml:space="preserve">2016/2431</t>
  </si>
  <si>
    <t xml:space="preserve">Akila Niyas</t>
  </si>
  <si>
    <t xml:space="preserve">No. 136, Baseline Road, Kegalle</t>
  </si>
  <si>
    <t xml:space="preserve">0781810450</t>
  </si>
  <si>
    <t xml:space="preserve">0704373615</t>
  </si>
  <si>
    <t xml:space="preserve">akila.niyas430@studentmail.example.lk</t>
  </si>
  <si>
    <t xml:space="preserve">STU0431</t>
  </si>
  <si>
    <t xml:space="preserve">2015/1370</t>
  </si>
  <si>
    <t xml:space="preserve">Mohamed Fazil Jayasinghe</t>
  </si>
  <si>
    <t xml:space="preserve">No. 167, Baseline Road, Galle</t>
  </si>
  <si>
    <t xml:space="preserve">0786397925</t>
  </si>
  <si>
    <t xml:space="preserve">Erandi Jayasinghe</t>
  </si>
  <si>
    <t xml:space="preserve">0721164369</t>
  </si>
  <si>
    <t xml:space="preserve">mohamed.jayasinghe431@studentmail.example.lk</t>
  </si>
  <si>
    <t xml:space="preserve">STU0432</t>
  </si>
  <si>
    <t xml:space="preserve">2017/1175</t>
  </si>
  <si>
    <t xml:space="preserve">Shanika Wijesinghe</t>
  </si>
  <si>
    <t xml:space="preserve">No. 140, Galle Road, Kandy</t>
  </si>
  <si>
    <t xml:space="preserve">0753042763</t>
  </si>
  <si>
    <t xml:space="preserve">Isuru Wijesinghe</t>
  </si>
  <si>
    <t xml:space="preserve">0752814447</t>
  </si>
  <si>
    <t xml:space="preserve">shanika.wijesinghe432@studentmail.example.lk</t>
  </si>
  <si>
    <t xml:space="preserve">STU0433</t>
  </si>
  <si>
    <t xml:space="preserve">2017/4090</t>
  </si>
  <si>
    <t xml:space="preserve">Lakshan Niyas</t>
  </si>
  <si>
    <t xml:space="preserve">No. 229, Temple Lane, Kandy</t>
  </si>
  <si>
    <t xml:space="preserve">0787174306</t>
  </si>
  <si>
    <t xml:space="preserve">Imran Naufer Niyas</t>
  </si>
  <si>
    <t xml:space="preserve">0788811640</t>
  </si>
  <si>
    <t xml:space="preserve">lakshan.niyas433@studentmail.example.lk</t>
  </si>
  <si>
    <t xml:space="preserve">STU0434</t>
  </si>
  <si>
    <t xml:space="preserve">2015/1790</t>
  </si>
  <si>
    <t xml:space="preserve">No. 102, Negombo Road, Kurunegala</t>
  </si>
  <si>
    <t xml:space="preserve">0722041231</t>
  </si>
  <si>
    <t xml:space="preserve">0760577204</t>
  </si>
  <si>
    <t xml:space="preserve">tharushi.karunaratne434@studentmail.example.lk</t>
  </si>
  <si>
    <t xml:space="preserve">STU0435</t>
  </si>
  <si>
    <t xml:space="preserve">2019/1618</t>
  </si>
  <si>
    <t xml:space="preserve">Dinusha Gamage</t>
  </si>
  <si>
    <t xml:space="preserve">No. 21, Temple Lane, Kalutara</t>
  </si>
  <si>
    <t xml:space="preserve">0782240432</t>
  </si>
  <si>
    <t xml:space="preserve">0751189003</t>
  </si>
  <si>
    <t xml:space="preserve">dinusha.gamage435@studentmail.example.lk</t>
  </si>
  <si>
    <t xml:space="preserve">STU0436</t>
  </si>
  <si>
    <t xml:space="preserve">2015/1122</t>
  </si>
  <si>
    <t xml:space="preserve">Tharaki Silva</t>
  </si>
  <si>
    <t xml:space="preserve">No. 205, Lake Drive, Colombo</t>
  </si>
  <si>
    <t xml:space="preserve">0717397130</t>
  </si>
  <si>
    <t xml:space="preserve">Ridmal Silva</t>
  </si>
  <si>
    <t xml:space="preserve">0777221138</t>
  </si>
  <si>
    <t xml:space="preserve">tharaki.silva436@studentmail.example.lk</t>
  </si>
  <si>
    <t xml:space="preserve">STU0437</t>
  </si>
  <si>
    <t xml:space="preserve">2016/2941</t>
  </si>
  <si>
    <t xml:space="preserve">No. 14, Negombo Road, Gampaha</t>
  </si>
  <si>
    <t xml:space="preserve">0784422521</t>
  </si>
  <si>
    <t xml:space="preserve">Mohamed Fazil Naufer</t>
  </si>
  <si>
    <t xml:space="preserve">0776025239</t>
  </si>
  <si>
    <t xml:space="preserve">madushani.naufer437@studentmail.example.lk</t>
  </si>
  <si>
    <t xml:space="preserve">STU0438</t>
  </si>
  <si>
    <t xml:space="preserve">2019/4780</t>
  </si>
  <si>
    <t xml:space="preserve">Kavishka Ranasinghe</t>
  </si>
  <si>
    <t xml:space="preserve">No. 210, Highlevel Road, Kegalle</t>
  </si>
  <si>
    <t xml:space="preserve">0712455985</t>
  </si>
  <si>
    <t xml:space="preserve">Risma Nawfar Ranasinghe</t>
  </si>
  <si>
    <t xml:space="preserve">0716021191</t>
  </si>
  <si>
    <t xml:space="preserve">kavishka.ranasinghe438@studentmail.example.lk</t>
  </si>
  <si>
    <t xml:space="preserve">STU0439</t>
  </si>
  <si>
    <t xml:space="preserve">2017/4718</t>
  </si>
  <si>
    <t xml:space="preserve">Kushani Thillainathan</t>
  </si>
  <si>
    <t xml:space="preserve">No. 131, Kotte Road, Matara</t>
  </si>
  <si>
    <t xml:space="preserve">0788191907</t>
  </si>
  <si>
    <t xml:space="preserve">Senuri Thillainathan</t>
  </si>
  <si>
    <t xml:space="preserve">0729921640</t>
  </si>
  <si>
    <t xml:space="preserve">kushani.thillainathan439@studentmail.example.lk</t>
  </si>
  <si>
    <t xml:space="preserve">STU0440</t>
  </si>
  <si>
    <t xml:space="preserve">2016/4045</t>
  </si>
  <si>
    <t xml:space="preserve">Pavithra Dissanayake</t>
  </si>
  <si>
    <t xml:space="preserve">No. 225, Kotte Road, Gampaha</t>
  </si>
  <si>
    <t xml:space="preserve">0710008863</t>
  </si>
  <si>
    <t xml:space="preserve">Hiruni Perera</t>
  </si>
  <si>
    <t xml:space="preserve">0784673919</t>
  </si>
  <si>
    <t xml:space="preserve">pavithra.dissanayake440@studentmail.example.lk</t>
  </si>
  <si>
    <t xml:space="preserve">STU0441</t>
  </si>
  <si>
    <t xml:space="preserve">2018/4031</t>
  </si>
  <si>
    <t xml:space="preserve">Akila Mendis</t>
  </si>
  <si>
    <t xml:space="preserve">No. 188, Baseline Road, Kalutara</t>
  </si>
  <si>
    <t xml:space="preserve">0761867463</t>
  </si>
  <si>
    <t xml:space="preserve">Nuwan Mendis</t>
  </si>
  <si>
    <t xml:space="preserve">0710099843</t>
  </si>
  <si>
    <t xml:space="preserve">akila.mendis441@studentmail.example.lk</t>
  </si>
  <si>
    <t xml:space="preserve">STU0442</t>
  </si>
  <si>
    <t xml:space="preserve">2017/2486</t>
  </si>
  <si>
    <t xml:space="preserve">No. 115, Baseline Road, Galle</t>
  </si>
  <si>
    <t xml:space="preserve">0769944946</t>
  </si>
  <si>
    <t xml:space="preserve">Kavindi Silva</t>
  </si>
  <si>
    <t xml:space="preserve">0757201082</t>
  </si>
  <si>
    <t xml:space="preserve">sachini.silva442@studentmail.example.lk</t>
  </si>
  <si>
    <t xml:space="preserve">STU0443</t>
  </si>
  <si>
    <t xml:space="preserve">2016/2276</t>
  </si>
  <si>
    <t xml:space="preserve">Kavindi Mohamed</t>
  </si>
  <si>
    <t xml:space="preserve">No. 76, Kandy Road, Kandy</t>
  </si>
  <si>
    <t xml:space="preserve">0761828518</t>
  </si>
  <si>
    <t xml:space="preserve">Senuri Mohamed</t>
  </si>
  <si>
    <t xml:space="preserve">0716125590</t>
  </si>
  <si>
    <t xml:space="preserve">kavindi.mohamed443@studentmail.example.lk</t>
  </si>
  <si>
    <t xml:space="preserve">STU0444</t>
  </si>
  <si>
    <t xml:space="preserve">2019/1821</t>
  </si>
  <si>
    <t xml:space="preserve">Praveen Dissanayake</t>
  </si>
  <si>
    <t xml:space="preserve">No. 33, Galle Road, Kalutara</t>
  </si>
  <si>
    <t xml:space="preserve">0765076653</t>
  </si>
  <si>
    <t xml:space="preserve">0784460422</t>
  </si>
  <si>
    <t xml:space="preserve">praveen.dissanayake444@studentmail.example.lk</t>
  </si>
  <si>
    <t xml:space="preserve">STU0445</t>
  </si>
  <si>
    <t xml:space="preserve">2018/4470</t>
  </si>
  <si>
    <t xml:space="preserve">Gayan Ranasinghe</t>
  </si>
  <si>
    <t xml:space="preserve">No. 71, Kandy Road, Ratnapura</t>
  </si>
  <si>
    <t xml:space="preserve">0756878494</t>
  </si>
  <si>
    <t xml:space="preserve">Madushani Mendis</t>
  </si>
  <si>
    <t xml:space="preserve">0757129035</t>
  </si>
  <si>
    <t xml:space="preserve">gayan.ranasinghe445@studentmail.example.lk</t>
  </si>
  <si>
    <t xml:space="preserve">STU0446</t>
  </si>
  <si>
    <t xml:space="preserve">2015/4454</t>
  </si>
  <si>
    <t xml:space="preserve">Manori Dissanayake</t>
  </si>
  <si>
    <t xml:space="preserve">No. 202, Negombo Road, Colombo</t>
  </si>
  <si>
    <t xml:space="preserve">0754411197</t>
  </si>
  <si>
    <t xml:space="preserve">Hiruni Dissanayake</t>
  </si>
  <si>
    <t xml:space="preserve">0783881827</t>
  </si>
  <si>
    <t xml:space="preserve">manori.dissanayake446@studentmail.example.lk</t>
  </si>
  <si>
    <t xml:space="preserve">STU0447</t>
  </si>
  <si>
    <t xml:space="preserve">2016/1179</t>
  </si>
  <si>
    <t xml:space="preserve">0782301604</t>
  </si>
  <si>
    <t xml:space="preserve">Mohamed Fazil Hettiarachchi</t>
  </si>
  <si>
    <t xml:space="preserve">0768603721</t>
  </si>
  <si>
    <t xml:space="preserve">rashmi.hettiarachchi447@studentmail.example.lk</t>
  </si>
  <si>
    <t xml:space="preserve">STU0448</t>
  </si>
  <si>
    <t xml:space="preserve">2019/3956</t>
  </si>
  <si>
    <t xml:space="preserve">Dilini Wickramasinghe</t>
  </si>
  <si>
    <t xml:space="preserve">No. 135, Baseline Road, Kurunegala</t>
  </si>
  <si>
    <t xml:space="preserve">0711137535</t>
  </si>
  <si>
    <t xml:space="preserve">Fathima Rinosa Wickramasinghe</t>
  </si>
  <si>
    <t xml:space="preserve">0762107288</t>
  </si>
  <si>
    <t xml:space="preserve">dilini.wickramasinghe448@studentmail.example.lk</t>
  </si>
  <si>
    <t xml:space="preserve">STU0449</t>
  </si>
  <si>
    <t xml:space="preserve">2018/4597</t>
  </si>
  <si>
    <t xml:space="preserve">Suresh Senanayake</t>
  </si>
  <si>
    <t xml:space="preserve">No. 141, Galle Road, Kegalle</t>
  </si>
  <si>
    <t xml:space="preserve">0725780024</t>
  </si>
  <si>
    <t xml:space="preserve">Damith Senanayake</t>
  </si>
  <si>
    <t xml:space="preserve">0774323622</t>
  </si>
  <si>
    <t xml:space="preserve">suresh.senanayake449@studentmail.example.lk</t>
  </si>
  <si>
    <t xml:space="preserve">STU0450</t>
  </si>
  <si>
    <t xml:space="preserve">2017/4435</t>
  </si>
  <si>
    <t xml:space="preserve">Akila Kandasamy</t>
  </si>
  <si>
    <t xml:space="preserve">No. 123, Galle Road, Gampaha</t>
  </si>
  <si>
    <t xml:space="preserve">0705084243</t>
  </si>
  <si>
    <t xml:space="preserve">0771983924</t>
  </si>
  <si>
    <t xml:space="preserve">akila.kandasamy450@studentmail.example.lk</t>
  </si>
  <si>
    <t xml:space="preserve">STU0451</t>
  </si>
  <si>
    <t xml:space="preserve">2017/4735</t>
  </si>
  <si>
    <t xml:space="preserve">No. 207, Lake Drive, Galle</t>
  </si>
  <si>
    <t xml:space="preserve">0781573855</t>
  </si>
  <si>
    <t xml:space="preserve">Vidushi Perera</t>
  </si>
  <si>
    <t xml:space="preserve">0771281775</t>
  </si>
  <si>
    <t xml:space="preserve">lahiru.perera451@studentmail.example.lk</t>
  </si>
  <si>
    <t xml:space="preserve">STU0452</t>
  </si>
  <si>
    <t xml:space="preserve">2019/2466</t>
  </si>
  <si>
    <t xml:space="preserve">No. 212, Park Avenue, Matara</t>
  </si>
  <si>
    <t xml:space="preserve">0715647837</t>
  </si>
  <si>
    <t xml:space="preserve">0770317543</t>
  </si>
  <si>
    <t xml:space="preserve">kalani.gamage452@studentmail.example.lk</t>
  </si>
  <si>
    <t xml:space="preserve">STU0453</t>
  </si>
  <si>
    <t xml:space="preserve">2017/2026</t>
  </si>
  <si>
    <t xml:space="preserve">No. 243, Kandy Road, Gampaha</t>
  </si>
  <si>
    <t xml:space="preserve">0723867625</t>
  </si>
  <si>
    <t xml:space="preserve">0762386879</t>
  </si>
  <si>
    <t xml:space="preserve">aravinth.careem453@studentmail.example.lk</t>
  </si>
  <si>
    <t xml:space="preserve">STU0454</t>
  </si>
  <si>
    <t xml:space="preserve">2020/2287</t>
  </si>
  <si>
    <t xml:space="preserve">Ishara Pathirana</t>
  </si>
  <si>
    <t xml:space="preserve">No. 129, Lake Drive, Matara</t>
  </si>
  <si>
    <t xml:space="preserve">0755542619</t>
  </si>
  <si>
    <t xml:space="preserve">Anjali Pathirana</t>
  </si>
  <si>
    <t xml:space="preserve">0770384227</t>
  </si>
  <si>
    <t xml:space="preserve">ishara.pathirana454@studentmail.example.lk</t>
  </si>
  <si>
    <t xml:space="preserve">STU0455</t>
  </si>
  <si>
    <t xml:space="preserve">2018/1645</t>
  </si>
  <si>
    <t xml:space="preserve">No. 142, Station Road, Ratnapura</t>
  </si>
  <si>
    <t xml:space="preserve">0763052169</t>
  </si>
  <si>
    <t xml:space="preserve">0713922026</t>
  </si>
  <si>
    <t xml:space="preserve">sithum.wickramasinghe455@studentmail.example.lk</t>
  </si>
  <si>
    <t xml:space="preserve">STU0456</t>
  </si>
  <si>
    <t xml:space="preserve">2018/1854</t>
  </si>
  <si>
    <t xml:space="preserve">Charith Fernando</t>
  </si>
  <si>
    <t xml:space="preserve">No. 148, Kotte Road, Negombo</t>
  </si>
  <si>
    <t xml:space="preserve">0787294763</t>
  </si>
  <si>
    <t xml:space="preserve">Lakshan Sivakumar</t>
  </si>
  <si>
    <t xml:space="preserve">0760839065</t>
  </si>
  <si>
    <t xml:space="preserve">charith.fernando456@studentmail.example.lk</t>
  </si>
  <si>
    <t xml:space="preserve">STU0457</t>
  </si>
  <si>
    <t xml:space="preserve">2019/2222</t>
  </si>
  <si>
    <t xml:space="preserve">Ashen Rajapaksa</t>
  </si>
  <si>
    <t xml:space="preserve">No. 184, Station Road, Matara</t>
  </si>
  <si>
    <t xml:space="preserve">0755272845</t>
  </si>
  <si>
    <t xml:space="preserve">Yohan Rajapaksa</t>
  </si>
  <si>
    <t xml:space="preserve">0709749950</t>
  </si>
  <si>
    <t xml:space="preserve">ashen.rajapaksa457@studentmail.example.lk</t>
  </si>
  <si>
    <t xml:space="preserve">STU0458</t>
  </si>
  <si>
    <t xml:space="preserve">2020/4703</t>
  </si>
  <si>
    <t xml:space="preserve">Vinoth Kumara</t>
  </si>
  <si>
    <t xml:space="preserve">No. 139, Lake Drive, Colombo</t>
  </si>
  <si>
    <t xml:space="preserve">0763225333</t>
  </si>
  <si>
    <t xml:space="preserve">Vinodhini Kumara</t>
  </si>
  <si>
    <t xml:space="preserve">0700235102</t>
  </si>
  <si>
    <t xml:space="preserve">vinoth.kumara458@studentmail.example.lk</t>
  </si>
  <si>
    <t xml:space="preserve">STU0459</t>
  </si>
  <si>
    <t xml:space="preserve">2017/2614</t>
  </si>
  <si>
    <t xml:space="preserve">No. 7, Baseline Road, Ratnapura</t>
  </si>
  <si>
    <t xml:space="preserve">0778312441</t>
  </si>
  <si>
    <t xml:space="preserve">Kasun Senanayake</t>
  </si>
  <si>
    <t xml:space="preserve">0709075965</t>
  </si>
  <si>
    <t xml:space="preserve">anjali.senanayake459@studentmail.example.lk</t>
  </si>
  <si>
    <t xml:space="preserve">STU0460</t>
  </si>
  <si>
    <t xml:space="preserve">2020/4693</t>
  </si>
  <si>
    <t xml:space="preserve">Isuru Ranasinghe</t>
  </si>
  <si>
    <t xml:space="preserve">No. 180, Kotte Road, Negombo</t>
  </si>
  <si>
    <t xml:space="preserve">0755362647</t>
  </si>
  <si>
    <t xml:space="preserve">Damith Ranasinghe</t>
  </si>
  <si>
    <t xml:space="preserve">0722864612</t>
  </si>
  <si>
    <t xml:space="preserve">isuru.ranasinghe460@studentmail.example.lk</t>
  </si>
  <si>
    <t xml:space="preserve">STU0461</t>
  </si>
  <si>
    <t xml:space="preserve">2017/1859</t>
  </si>
  <si>
    <t xml:space="preserve">Senuri Madushanka</t>
  </si>
  <si>
    <t xml:space="preserve">No. 77, Kotte Road, Colombo</t>
  </si>
  <si>
    <t xml:space="preserve">0767797247</t>
  </si>
  <si>
    <t xml:space="preserve">Janani Madushanka</t>
  </si>
  <si>
    <t xml:space="preserve">0762542218</t>
  </si>
  <si>
    <t xml:space="preserve">senuri.madushanka461@studentmail.example.lk</t>
  </si>
  <si>
    <t xml:space="preserve">STU0462</t>
  </si>
  <si>
    <t xml:space="preserve">Sandun Mohamed</t>
  </si>
  <si>
    <t xml:space="preserve">No. 180, Station Road, Matara</t>
  </si>
  <si>
    <t xml:space="preserve">0706208467</t>
  </si>
  <si>
    <t xml:space="preserve">Rashmi Mohamed</t>
  </si>
  <si>
    <t xml:space="preserve">0709254355</t>
  </si>
  <si>
    <t xml:space="preserve">sandun.mohamed462@studentmail.example.lk</t>
  </si>
  <si>
    <t xml:space="preserve">STU0463</t>
  </si>
  <si>
    <t xml:space="preserve">2019/2615</t>
  </si>
  <si>
    <t xml:space="preserve">Kalpana Ranasinghe</t>
  </si>
  <si>
    <t xml:space="preserve">No. 68, Baseline Road, Colombo</t>
  </si>
  <si>
    <t xml:space="preserve">0765632174</t>
  </si>
  <si>
    <t xml:space="preserve">0770039101</t>
  </si>
  <si>
    <t xml:space="preserve">kalpana.ranasinghe463@studentmail.example.lk</t>
  </si>
  <si>
    <t xml:space="preserve">STU0464</t>
  </si>
  <si>
    <t xml:space="preserve">2017/4403</t>
  </si>
  <si>
    <t xml:space="preserve">Vihanga Murugesu</t>
  </si>
  <si>
    <t xml:space="preserve">No. 56, Park Avenue, Kurunegala</t>
  </si>
  <si>
    <t xml:space="preserve">0710953723</t>
  </si>
  <si>
    <t xml:space="preserve">Yohan Murugesu</t>
  </si>
  <si>
    <t xml:space="preserve">0726176231</t>
  </si>
  <si>
    <t xml:space="preserve">vihanga.murugesu464@studentmail.example.lk</t>
  </si>
  <si>
    <t xml:space="preserve">STU0465</t>
  </si>
  <si>
    <t xml:space="preserve">2018/2952</t>
  </si>
  <si>
    <t xml:space="preserve">No. 155, Highlevel Road, Kandy</t>
  </si>
  <si>
    <t xml:space="preserve">0760461755</t>
  </si>
  <si>
    <t xml:space="preserve">Senura Ranasinghe</t>
  </si>
  <si>
    <t xml:space="preserve">0718870179</t>
  </si>
  <si>
    <t xml:space="preserve">gayan.ranasinghe465@studentmail.example.lk</t>
  </si>
  <si>
    <t xml:space="preserve">STU0466</t>
  </si>
  <si>
    <t xml:space="preserve">2018/3345</t>
  </si>
  <si>
    <t xml:space="preserve">Ridmal Selvarajah</t>
  </si>
  <si>
    <t xml:space="preserve">No. 95, Kotte Road, Galle</t>
  </si>
  <si>
    <t xml:space="preserve">0782689047</t>
  </si>
  <si>
    <t xml:space="preserve">Hiruni Niyas</t>
  </si>
  <si>
    <t xml:space="preserve">0703864100</t>
  </si>
  <si>
    <t xml:space="preserve">ridmal.selvarajah466@studentmail.example.lk</t>
  </si>
  <si>
    <t xml:space="preserve">STU0467</t>
  </si>
  <si>
    <t xml:space="preserve">2017/4466</t>
  </si>
  <si>
    <t xml:space="preserve">Tharaki Bandara</t>
  </si>
  <si>
    <t xml:space="preserve">No. 130, Park Avenue, Kalutara</t>
  </si>
  <si>
    <t xml:space="preserve">0723706618</t>
  </si>
  <si>
    <t xml:space="preserve">0787564672</t>
  </si>
  <si>
    <t xml:space="preserve">tharaki.bandara467@studentmail.example.lk</t>
  </si>
  <si>
    <t xml:space="preserve">STU0468</t>
  </si>
  <si>
    <t xml:space="preserve">2019/2370</t>
  </si>
  <si>
    <t xml:space="preserve">No. 94, Station Road, Galle</t>
  </si>
  <si>
    <t xml:space="preserve">0715033746</t>
  </si>
  <si>
    <t xml:space="preserve">Dilshan Kumara</t>
  </si>
  <si>
    <t xml:space="preserve">0768330677</t>
  </si>
  <si>
    <t xml:space="preserve">janani.kumara468@studentmail.example.lk</t>
  </si>
  <si>
    <t xml:space="preserve">STU0469</t>
  </si>
  <si>
    <t xml:space="preserve">2018/1837</t>
  </si>
  <si>
    <t xml:space="preserve">No. 217, Baseline Road, Kurunegala</t>
  </si>
  <si>
    <t xml:space="preserve">0780492217</t>
  </si>
  <si>
    <t xml:space="preserve">Madushani Fernando</t>
  </si>
  <si>
    <t xml:space="preserve">0714861867</t>
  </si>
  <si>
    <t xml:space="preserve">aysha.fernando469@studentmail.example.lk</t>
  </si>
  <si>
    <t xml:space="preserve">STU0470</t>
  </si>
  <si>
    <t xml:space="preserve">2016/4020</t>
  </si>
  <si>
    <t xml:space="preserve">Senura Pathirana</t>
  </si>
  <si>
    <t xml:space="preserve">No. 44, Station Road, Ratnapura</t>
  </si>
  <si>
    <t xml:space="preserve">0722039831</t>
  </si>
  <si>
    <t xml:space="preserve">Mohamed Fazil Pathirana</t>
  </si>
  <si>
    <t xml:space="preserve">0773549014</t>
  </si>
  <si>
    <t xml:space="preserve">senura.pathirana470@studentmail.example.lk</t>
  </si>
  <si>
    <t xml:space="preserve">STU0471</t>
  </si>
  <si>
    <t xml:space="preserve">2017/2696</t>
  </si>
  <si>
    <t xml:space="preserve">No. 165, Highlevel Road, Gampaha</t>
  </si>
  <si>
    <t xml:space="preserve">0771589016</t>
  </si>
  <si>
    <t xml:space="preserve">Fathima Rinosa Jayasinghe</t>
  </si>
  <si>
    <t xml:space="preserve">0774928150</t>
  </si>
  <si>
    <t xml:space="preserve">imesha.jayasinghe471@studentmail.example.lk</t>
  </si>
  <si>
    <t xml:space="preserve">STU0472</t>
  </si>
  <si>
    <t xml:space="preserve">2019/3460</t>
  </si>
  <si>
    <t xml:space="preserve">Praveen Bandara</t>
  </si>
  <si>
    <t xml:space="preserve">No. 84, Galle Road, Colombo</t>
  </si>
  <si>
    <t xml:space="preserve">0752889592</t>
  </si>
  <si>
    <t xml:space="preserve">0777411680</t>
  </si>
  <si>
    <t xml:space="preserve">praveen.bandara472@studentmail.example.lk</t>
  </si>
  <si>
    <t xml:space="preserve">STU0473</t>
  </si>
  <si>
    <t xml:space="preserve">2020/4779</t>
  </si>
  <si>
    <t xml:space="preserve">Nuwan Abeysekara</t>
  </si>
  <si>
    <t xml:space="preserve">No. 162, Negombo Road, Kalutara</t>
  </si>
  <si>
    <t xml:space="preserve">0728701204</t>
  </si>
  <si>
    <t xml:space="preserve">0782425369</t>
  </si>
  <si>
    <t xml:space="preserve">nuwan.abeysekara473@studentmail.example.lk</t>
  </si>
  <si>
    <t xml:space="preserve">STU0474</t>
  </si>
  <si>
    <t xml:space="preserve">2015/2303</t>
  </si>
  <si>
    <t xml:space="preserve">Erandi Rajendran</t>
  </si>
  <si>
    <t xml:space="preserve">No. 179, Station Road, Kalutara</t>
  </si>
  <si>
    <t xml:space="preserve">0761875403</t>
  </si>
  <si>
    <t xml:space="preserve">Hiruni Rajendran</t>
  </si>
  <si>
    <t xml:space="preserve">0786488215</t>
  </si>
  <si>
    <t xml:space="preserve">erandi.rajendran474@studentmail.example.lk</t>
  </si>
  <si>
    <t xml:space="preserve">STU0475</t>
  </si>
  <si>
    <t xml:space="preserve">2015/1755</t>
  </si>
  <si>
    <t xml:space="preserve">Pavithra Mendis</t>
  </si>
  <si>
    <t xml:space="preserve">No. 102, Kandy Road, Matara</t>
  </si>
  <si>
    <t xml:space="preserve">0769623569</t>
  </si>
  <si>
    <t xml:space="preserve">0769299833</t>
  </si>
  <si>
    <t xml:space="preserve">pavithra.mendis475@studentmail.example.lk</t>
  </si>
  <si>
    <t xml:space="preserve">STU0476</t>
  </si>
  <si>
    <t xml:space="preserve">2016/1391</t>
  </si>
  <si>
    <t xml:space="preserve">Methma Ranasinghe</t>
  </si>
  <si>
    <t xml:space="preserve">No. 3, Galle Road, Colombo</t>
  </si>
  <si>
    <t xml:space="preserve">0714407629</t>
  </si>
  <si>
    <t xml:space="preserve">Pasindu Murugesu</t>
  </si>
  <si>
    <t xml:space="preserve">0771430491</t>
  </si>
  <si>
    <t xml:space="preserve">methma.ranasinghe476@studentmail.example.lk</t>
  </si>
  <si>
    <t xml:space="preserve">STU0477</t>
  </si>
  <si>
    <t xml:space="preserve">2016/1126</t>
  </si>
  <si>
    <t xml:space="preserve">Risma Nawfar Dissanayake</t>
  </si>
  <si>
    <t xml:space="preserve">No. 205, Kandy Road, Ratnapura</t>
  </si>
  <si>
    <t xml:space="preserve">0728962980</t>
  </si>
  <si>
    <t xml:space="preserve">Nadeesha Dissanayake</t>
  </si>
  <si>
    <t xml:space="preserve">0775682017</t>
  </si>
  <si>
    <t xml:space="preserve">risma.dissanayake477@studentmail.example.lk</t>
  </si>
  <si>
    <t xml:space="preserve">STU0478</t>
  </si>
  <si>
    <t xml:space="preserve">2017/1923</t>
  </si>
  <si>
    <t xml:space="preserve">Pasindu Naufer</t>
  </si>
  <si>
    <t xml:space="preserve">No. 218, Station Road, Negombo</t>
  </si>
  <si>
    <t xml:space="preserve">0710777321</t>
  </si>
  <si>
    <t xml:space="preserve">Shanika Naufer</t>
  </si>
  <si>
    <t xml:space="preserve">0755036192</t>
  </si>
  <si>
    <t xml:space="preserve">pasindu.naufer478@studentmail.example.lk</t>
  </si>
  <si>
    <t xml:space="preserve">STU0479</t>
  </si>
  <si>
    <t xml:space="preserve">2017/4071</t>
  </si>
  <si>
    <t xml:space="preserve">No. 17, Galle Road, Matara</t>
  </si>
  <si>
    <t xml:space="preserve">0755191708</t>
  </si>
  <si>
    <t xml:space="preserve">Charith Perera</t>
  </si>
  <si>
    <t xml:space="preserve">0785173289</t>
  </si>
  <si>
    <t xml:space="preserve">vidushi.perera479@studentmail.example.lk</t>
  </si>
  <si>
    <t xml:space="preserve">STU0480</t>
  </si>
  <si>
    <t xml:space="preserve">2019/4363</t>
  </si>
  <si>
    <t xml:space="preserve">Kalani Abeysekara</t>
  </si>
  <si>
    <t xml:space="preserve">No. 184, Highlevel Road, Kurunegala</t>
  </si>
  <si>
    <t xml:space="preserve">0721840398</t>
  </si>
  <si>
    <t xml:space="preserve">0702180396</t>
  </si>
  <si>
    <t xml:space="preserve">kalani.abeysekara480@studentmail.example.lk</t>
  </si>
  <si>
    <t xml:space="preserve">STU0481</t>
  </si>
  <si>
    <t xml:space="preserve">2017/1370</t>
  </si>
  <si>
    <t xml:space="preserve">Dinusha Murugesu</t>
  </si>
  <si>
    <t xml:space="preserve">No. 53, Kotte Road, Gampaha</t>
  </si>
  <si>
    <t xml:space="preserve">0726230397</t>
  </si>
  <si>
    <t xml:space="preserve">Pavithra Murugesu</t>
  </si>
  <si>
    <t xml:space="preserve">0724088067</t>
  </si>
  <si>
    <t xml:space="preserve">dinusha.murugesu481@studentmail.example.lk</t>
  </si>
  <si>
    <t xml:space="preserve">STU0482</t>
  </si>
  <si>
    <t xml:space="preserve">2016/4320</t>
  </si>
  <si>
    <t xml:space="preserve">Senuri Gunawardena</t>
  </si>
  <si>
    <t xml:space="preserve">No. 142, Baseline Road, Kegalle</t>
  </si>
  <si>
    <t xml:space="preserve">0715263211</t>
  </si>
  <si>
    <t xml:space="preserve">0766047220</t>
  </si>
  <si>
    <t xml:space="preserve">senuri.gunawardena482@studentmail.example.lk</t>
  </si>
  <si>
    <t xml:space="preserve">STU0483</t>
  </si>
  <si>
    <t xml:space="preserve">2019/2338</t>
  </si>
  <si>
    <t xml:space="preserve">No. 4, Negombo Road, Galle</t>
  </si>
  <si>
    <t xml:space="preserve">0718402578</t>
  </si>
  <si>
    <t xml:space="preserve">Dilini Sivakumar</t>
  </si>
  <si>
    <t xml:space="preserve">0750368605</t>
  </si>
  <si>
    <t xml:space="preserve">priyanka.sivakumar483@studentmail.example.lk</t>
  </si>
  <si>
    <t xml:space="preserve">STU0484</t>
  </si>
  <si>
    <t xml:space="preserve">2020/1240</t>
  </si>
  <si>
    <t xml:space="preserve">Kasun Wijesinghe</t>
  </si>
  <si>
    <t xml:space="preserve">No. 156, Highlevel Road, Kurunegala</t>
  </si>
  <si>
    <t xml:space="preserve">0703759795</t>
  </si>
  <si>
    <t xml:space="preserve">0701926009</t>
  </si>
  <si>
    <t xml:space="preserve">kasun.wijesinghe484@studentmail.example.lk</t>
  </si>
  <si>
    <t xml:space="preserve">STU0485</t>
  </si>
  <si>
    <t xml:space="preserve">2020/3583</t>
  </si>
  <si>
    <t xml:space="preserve">Ranjini Karunaratne</t>
  </si>
  <si>
    <t xml:space="preserve">No. 73, Highlevel Road, Kurunegala</t>
  </si>
  <si>
    <t xml:space="preserve">0756229521</t>
  </si>
  <si>
    <t xml:space="preserve">Kalpana Karunaratne</t>
  </si>
  <si>
    <t xml:space="preserve">0759705660</t>
  </si>
  <si>
    <t xml:space="preserve">ranjini.karunaratne485@studentmail.example.lk</t>
  </si>
  <si>
    <t xml:space="preserve">STU0486</t>
  </si>
  <si>
    <t xml:space="preserve">2016/2499</t>
  </si>
  <si>
    <t xml:space="preserve">Senura Murugesu</t>
  </si>
  <si>
    <t xml:space="preserve">No. 18, Temple Lane, Gampaha</t>
  </si>
  <si>
    <t xml:space="preserve">0771671560</t>
  </si>
  <si>
    <t xml:space="preserve">Nethmi Perera</t>
  </si>
  <si>
    <t xml:space="preserve">0728790522</t>
  </si>
  <si>
    <t xml:space="preserve">senura.murugesu486@studentmail.example.lk</t>
  </si>
  <si>
    <t xml:space="preserve">STU0487</t>
  </si>
  <si>
    <t xml:space="preserve">2019/1797</t>
  </si>
  <si>
    <t xml:space="preserve">Fathima Rinosa Wijesinghe</t>
  </si>
  <si>
    <t xml:space="preserve">No. 118, Station Road, Kegalle</t>
  </si>
  <si>
    <t xml:space="preserve">0715702377</t>
  </si>
  <si>
    <t xml:space="preserve">Kalpana Wijesinghe</t>
  </si>
  <si>
    <t xml:space="preserve">0781843019</t>
  </si>
  <si>
    <t xml:space="preserve">fathima.wijesinghe487@studentmail.example.lk</t>
  </si>
  <si>
    <t xml:space="preserve">STU0488</t>
  </si>
  <si>
    <t xml:space="preserve">2015/1983</t>
  </si>
  <si>
    <t xml:space="preserve">No. 152, Negombo Road, Kalutara</t>
  </si>
  <si>
    <t xml:space="preserve">0707739238</t>
  </si>
  <si>
    <t xml:space="preserve">Chathurika Hettiarachchi</t>
  </si>
  <si>
    <t xml:space="preserve">0785202320</t>
  </si>
  <si>
    <t xml:space="preserve">vidushi.hettiarachchi488@studentmail.example.lk</t>
  </si>
  <si>
    <t xml:space="preserve">STU0489</t>
  </si>
  <si>
    <t xml:space="preserve">2015/1519</t>
  </si>
  <si>
    <t xml:space="preserve">Ranjini Pathirana</t>
  </si>
  <si>
    <t xml:space="preserve">No. 177, Lake Drive, Ratnapura</t>
  </si>
  <si>
    <t xml:space="preserve">0713831006</t>
  </si>
  <si>
    <t xml:space="preserve">Ahamed Niyas Pathirana</t>
  </si>
  <si>
    <t xml:space="preserve">0784332262</t>
  </si>
  <si>
    <t xml:space="preserve">ranjini.pathirana489@studentmail.example.lk</t>
  </si>
  <si>
    <t xml:space="preserve">STU0490</t>
  </si>
  <si>
    <t xml:space="preserve">2019/1554</t>
  </si>
  <si>
    <t xml:space="preserve">Dilini Madushanka</t>
  </si>
  <si>
    <t xml:space="preserve">No. 187, Galle Road, Kandy</t>
  </si>
  <si>
    <t xml:space="preserve">0754067582</t>
  </si>
  <si>
    <t xml:space="preserve">0757625906</t>
  </si>
  <si>
    <t xml:space="preserve">dilini.madushanka490@studentmail.example.lk</t>
  </si>
  <si>
    <t xml:space="preserve">STU0491</t>
  </si>
  <si>
    <t xml:space="preserve">2017/4333</t>
  </si>
  <si>
    <t xml:space="preserve">Aysha Nimna Bandara</t>
  </si>
  <si>
    <t xml:space="preserve">No. 199, Station Road, Kalutara</t>
  </si>
  <si>
    <t xml:space="preserve">0702239461</t>
  </si>
  <si>
    <t xml:space="preserve">0701289811</t>
  </si>
  <si>
    <t xml:space="preserve">aysha.bandara491@studentmail.example.lk</t>
  </si>
  <si>
    <t xml:space="preserve">STU0492</t>
  </si>
  <si>
    <t xml:space="preserve">2015/3153</t>
  </si>
  <si>
    <t xml:space="preserve">Kushani Naufer</t>
  </si>
  <si>
    <t xml:space="preserve">No. 249, Highlevel Road, Negombo</t>
  </si>
  <si>
    <t xml:space="preserve">0758061349</t>
  </si>
  <si>
    <t xml:space="preserve">Imran Naufer Naufer</t>
  </si>
  <si>
    <t xml:space="preserve">0775647998</t>
  </si>
  <si>
    <t xml:space="preserve">kushani.naufer492@studentmail.example.lk</t>
  </si>
  <si>
    <t xml:space="preserve">STU0493</t>
  </si>
  <si>
    <t xml:space="preserve">2016/2708</t>
  </si>
  <si>
    <t xml:space="preserve">Sachin Murugesu</t>
  </si>
  <si>
    <t xml:space="preserve">No. 83, Baseline Road, Kurunegala</t>
  </si>
  <si>
    <t xml:space="preserve">0777864578</t>
  </si>
  <si>
    <t xml:space="preserve">0755557512</t>
  </si>
  <si>
    <t xml:space="preserve">sachin.murugesu493@studentmail.example.lk</t>
  </si>
  <si>
    <t xml:space="preserve">STU0494</t>
  </si>
  <si>
    <t xml:space="preserve">2016/2065</t>
  </si>
  <si>
    <t xml:space="preserve">Geethma Wickramasinghe</t>
  </si>
  <si>
    <t xml:space="preserve">No. 218, Kotte Road, Gampaha</t>
  </si>
  <si>
    <t xml:space="preserve">0766860835</t>
  </si>
  <si>
    <t xml:space="preserve">0787017036</t>
  </si>
  <si>
    <t xml:space="preserve">geethma.wickramasinghe494@studentmail.example.lk</t>
  </si>
  <si>
    <t xml:space="preserve">STU0495</t>
  </si>
  <si>
    <t xml:space="preserve">2019/3442</t>
  </si>
  <si>
    <t xml:space="preserve">No. 143, Highlevel Road, Negombo</t>
  </si>
  <si>
    <t xml:space="preserve">0705694804</t>
  </si>
  <si>
    <t xml:space="preserve">Suresh Perera</t>
  </si>
  <si>
    <t xml:space="preserve">0720735674</t>
  </si>
  <si>
    <t xml:space="preserve">ridmal.perera495@studentmail.example.lk</t>
  </si>
  <si>
    <t xml:space="preserve">STU0496</t>
  </si>
  <si>
    <t xml:space="preserve">2018/2919</t>
  </si>
  <si>
    <t xml:space="preserve">Methma Mendis</t>
  </si>
  <si>
    <t xml:space="preserve">No. 145, Temple Lane, Matara</t>
  </si>
  <si>
    <t xml:space="preserve">0754867595</t>
  </si>
  <si>
    <t xml:space="preserve">0714186482</t>
  </si>
  <si>
    <t xml:space="preserve">methma.mendis496@studentmail.example.lk</t>
  </si>
  <si>
    <t xml:space="preserve">STU0497</t>
  </si>
  <si>
    <t xml:space="preserve">2019/4435</t>
  </si>
  <si>
    <t xml:space="preserve">Vinodhini Sivakumar</t>
  </si>
  <si>
    <t xml:space="preserve">No. 99, Station Road, Kandy</t>
  </si>
  <si>
    <t xml:space="preserve">0789315181</t>
  </si>
  <si>
    <t xml:space="preserve">Thilini Sivakumar</t>
  </si>
  <si>
    <t xml:space="preserve">0758824265</t>
  </si>
  <si>
    <t xml:space="preserve">vinodhini.sivakumar497@studentmail.example.lk</t>
  </si>
  <si>
    <t xml:space="preserve">STU0498</t>
  </si>
  <si>
    <t xml:space="preserve">2015/3880</t>
  </si>
  <si>
    <t xml:space="preserve">Tharaki Rajendran</t>
  </si>
  <si>
    <t xml:space="preserve">No. 52, Lake Drive, Kegalle</t>
  </si>
  <si>
    <t xml:space="preserve">0718890737</t>
  </si>
  <si>
    <t xml:space="preserve">Oshadi Rajendran</t>
  </si>
  <si>
    <t xml:space="preserve">0761591579</t>
  </si>
  <si>
    <t xml:space="preserve">tharaki.rajendran498@studentmail.example.lk</t>
  </si>
  <si>
    <t xml:space="preserve">STU0499</t>
  </si>
  <si>
    <t xml:space="preserve">2020/1469</t>
  </si>
  <si>
    <t xml:space="preserve">Dinusha Abeysekara</t>
  </si>
  <si>
    <t xml:space="preserve">No. 40, Lake Drive, Kegalle</t>
  </si>
  <si>
    <t xml:space="preserve">0766182070</t>
  </si>
  <si>
    <t xml:space="preserve">0756901079</t>
  </si>
  <si>
    <t xml:space="preserve">dinusha.abeysekara499@studentmail.example.lk</t>
  </si>
  <si>
    <t xml:space="preserve">STU0500</t>
  </si>
  <si>
    <t xml:space="preserve">2019/3828</t>
  </si>
  <si>
    <t xml:space="preserve">No. 216, Kotte Road, Negombo</t>
  </si>
  <si>
    <t xml:space="preserve">0725505705</t>
  </si>
  <si>
    <t xml:space="preserve">Vishwa Thillainathan</t>
  </si>
  <si>
    <t xml:space="preserve">0701879938</t>
  </si>
  <si>
    <t xml:space="preserve">kushani.thillainathan500@studentmail.example.lk</t>
  </si>
  <si>
    <t xml:space="preserve">Subject1</t>
  </si>
  <si>
    <t xml:space="preserve">Grade1</t>
  </si>
  <si>
    <t xml:space="preserve">Subject2</t>
  </si>
  <si>
    <t xml:space="preserve">Grade2</t>
  </si>
  <si>
    <t xml:space="preserve">Subject3</t>
  </si>
  <si>
    <t xml:space="preserve">Grade3</t>
  </si>
  <si>
    <t xml:space="preserve">Common1_Subject</t>
  </si>
  <si>
    <t xml:space="preserve">Common1_Grade</t>
  </si>
  <si>
    <t xml:space="preserve">Common2_Subject</t>
  </si>
  <si>
    <t xml:space="preserve">Common2_Grade</t>
  </si>
  <si>
    <t xml:space="preserve">SubjectsPassed</t>
  </si>
  <si>
    <t xml:space="preserve">OverallResult</t>
  </si>
  <si>
    <t xml:space="preserve">ZScore</t>
  </si>
  <si>
    <t xml:space="preserve">Political Science</t>
  </si>
  <si>
    <t xml:space="preserve">Geography</t>
  </si>
  <si>
    <t xml:space="preserve">Logic &amp; Scientific Method</t>
  </si>
  <si>
    <t xml:space="preserve">General English</t>
  </si>
  <si>
    <t xml:space="preserve">Common General Test</t>
  </si>
  <si>
    <t xml:space="preserve">Eligible for University Entrance</t>
  </si>
  <si>
    <t xml:space="preserve">Biology</t>
  </si>
  <si>
    <t xml:space="preserve">Physics</t>
  </si>
  <si>
    <t xml:space="preserve">Chemistry</t>
  </si>
  <si>
    <t xml:space="preserve">Qualified A/L Pass</t>
  </si>
  <si>
    <t xml:space="preserve">Business Studies</t>
  </si>
  <si>
    <t xml:space="preserve">Accounting</t>
  </si>
  <si>
    <t xml:space="preserve">Economics</t>
  </si>
  <si>
    <t xml:space="preserve">Combined Mathematics</t>
  </si>
  <si>
    <t xml:space="preserve">Science for Technology</t>
  </si>
  <si>
    <t xml:space="preserve">Engineering Technology</t>
  </si>
  <si>
    <t xml:space="preserve">Bio Systems Technology</t>
  </si>
  <si>
    <t xml:space="preserve">ActivityName</t>
  </si>
  <si>
    <t xml:space="preserve">Type</t>
  </si>
  <si>
    <t xml:space="preserve">Role</t>
  </si>
  <si>
    <t xml:space="preserve">YearsActive</t>
  </si>
  <si>
    <t xml:space="preserve">Debating Club</t>
  </si>
  <si>
    <t xml:space="preserve">Club/Society</t>
  </si>
  <si>
    <t xml:space="preserve">Vice Secretary</t>
  </si>
  <si>
    <t xml:space="preserve">Robotics Club</t>
  </si>
  <si>
    <t xml:space="preserve">Member</t>
  </si>
  <si>
    <t xml:space="preserve">Western Music Band</t>
  </si>
  <si>
    <t xml:space="preserve">Treasurer</t>
  </si>
  <si>
    <t xml:space="preserve">Interact Club</t>
  </si>
  <si>
    <t xml:space="preserve">Media Unit</t>
  </si>
  <si>
    <t xml:space="preserve">Drama Society</t>
  </si>
  <si>
    <t xml:space="preserve">Photography Club</t>
  </si>
  <si>
    <t xml:space="preserve">Committee Member</t>
  </si>
  <si>
    <t xml:space="preserve">English Literary Association</t>
  </si>
  <si>
    <t xml:space="preserve">Secretary</t>
  </si>
  <si>
    <t xml:space="preserve">Tamil Literary Association</t>
  </si>
  <si>
    <t xml:space="preserve">President</t>
  </si>
  <si>
    <t xml:space="preserve">Leo Club</t>
  </si>
  <si>
    <t xml:space="preserve">Science Society</t>
  </si>
  <si>
    <t xml:space="preserve">Environmental Society</t>
  </si>
  <si>
    <t xml:space="preserve">IT Society</t>
  </si>
  <si>
    <t xml:space="preserve">Eastern Music Society</t>
  </si>
  <si>
    <t xml:space="preserve">Buddhist Brotherhood</t>
  </si>
  <si>
    <t xml:space="preserve">Astronomical Society</t>
  </si>
  <si>
    <t xml:space="preserve">Sinhala Literary Association</t>
  </si>
  <si>
    <t xml:space="preserve">Art Circle</t>
  </si>
  <si>
    <t xml:space="preserve">Sport</t>
  </si>
  <si>
    <t xml:space="preserve">Level</t>
  </si>
  <si>
    <t xml:space="preserve">Achievement</t>
  </si>
  <si>
    <t xml:space="preserve">Year</t>
  </si>
  <si>
    <t xml:space="preserve">Basketball</t>
  </si>
  <si>
    <t xml:space="preserve">Zonal</t>
  </si>
  <si>
    <t xml:space="preserve">Colours Awarded</t>
  </si>
  <si>
    <t xml:space="preserve">Football</t>
  </si>
  <si>
    <t xml:space="preserve">Provincial</t>
  </si>
  <si>
    <t xml:space="preserve">Runner-up</t>
  </si>
  <si>
    <t xml:space="preserve">Table Tennis</t>
  </si>
  <si>
    <t xml:space="preserve">House Level</t>
  </si>
  <si>
    <t xml:space="preserve">Chess</t>
  </si>
  <si>
    <t xml:space="preserve">Inter-House</t>
  </si>
  <si>
    <t xml:space="preserve">Cricket</t>
  </si>
  <si>
    <t xml:space="preserve">Selected</t>
  </si>
  <si>
    <t xml:space="preserve">Tennis</t>
  </si>
  <si>
    <t xml:space="preserve">Winner</t>
  </si>
  <si>
    <t xml:space="preserve">Badminton</t>
  </si>
  <si>
    <t xml:space="preserve">Rugby</t>
  </si>
  <si>
    <t xml:space="preserve">Captain</t>
  </si>
  <si>
    <t xml:space="preserve">Best Player</t>
  </si>
  <si>
    <t xml:space="preserve">Swimming</t>
  </si>
  <si>
    <t xml:space="preserve">Participant</t>
  </si>
  <si>
    <t xml:space="preserve">Karate</t>
  </si>
  <si>
    <t xml:space="preserve">Athletics</t>
  </si>
  <si>
    <t xml:space="preserve">Volleyball</t>
  </si>
  <si>
    <t xml:space="preserve">Netball</t>
  </si>
  <si>
    <t xml:space="preserve">All-Island</t>
  </si>
  <si>
    <t xml:space="preserve">Hockey</t>
  </si>
  <si>
    <t xml:space="preserve">National</t>
  </si>
  <si>
    <t xml:space="preserve">AwardTitle</t>
  </si>
  <si>
    <t xml:space="preserve">Category</t>
  </si>
  <si>
    <t xml:space="preserve">YearAwarded</t>
  </si>
  <si>
    <t xml:space="preserve">AwardingBody</t>
  </si>
  <si>
    <t xml:space="preserve">Music Festival Award</t>
  </si>
  <si>
    <t xml:space="preserve">Arts &amp; Culture</t>
  </si>
  <si>
    <t xml:space="preserve">Board of Prefects</t>
  </si>
  <si>
    <t xml:space="preserve">Best House Captain</t>
  </si>
  <si>
    <t xml:space="preserve">Leadership</t>
  </si>
  <si>
    <t xml:space="preserve">Old Girls' Association</t>
  </si>
  <si>
    <t xml:space="preserve">Best Performer - Drama</t>
  </si>
  <si>
    <t xml:space="preserve">Social Service Society Award</t>
  </si>
  <si>
    <t xml:space="preserve">Community Service</t>
  </si>
  <si>
    <t xml:space="preserve">Volunteer of the Year</t>
  </si>
  <si>
    <t xml:space="preserve">Old Boys' Association</t>
  </si>
  <si>
    <t xml:space="preserve">Inter-School Sports Association</t>
  </si>
  <si>
    <t xml:space="preserve">Best All-Round Student Award</t>
  </si>
  <si>
    <t xml:space="preserve">Best All-Round Student</t>
  </si>
  <si>
    <t xml:space="preserve">School Administration</t>
  </si>
  <si>
    <t xml:space="preserve">Subject Prize - Mathematics</t>
  </si>
  <si>
    <t xml:space="preserve">Academic Excellence</t>
  </si>
  <si>
    <t xml:space="preserve">Captain's Award</t>
  </si>
  <si>
    <t xml:space="preserve">Sports Excellence</t>
  </si>
  <si>
    <t xml:space="preserve">Perfect Attendance Certificate</t>
  </si>
  <si>
    <t xml:space="preserve">Perfect Attendance</t>
  </si>
  <si>
    <t xml:space="preserve">Rotary Club Sponsorship</t>
  </si>
  <si>
    <t xml:space="preserve">Provincial Education Department</t>
  </si>
  <si>
    <t xml:space="preserve">Ministry of Education</t>
  </si>
  <si>
    <t xml:space="preserve">Subject Prize - English</t>
  </si>
  <si>
    <t xml:space="preserve">Zonal Education Office</t>
  </si>
  <si>
    <t xml:space="preserve">Best Athlete of the Year</t>
  </si>
  <si>
    <t xml:space="preserve">Colours for Sports</t>
  </si>
  <si>
    <t xml:space="preserve">Principal's Academic Award</t>
  </si>
  <si>
    <t xml:space="preserve">Sports Half Colours</t>
  </si>
  <si>
    <t xml:space="preserve">Prefect of the Year</t>
  </si>
  <si>
    <t xml:space="preserve">Subject Prize - Science</t>
  </si>
  <si>
    <t xml:space="preserve">Most Promising Sportsperson</t>
  </si>
  <si>
    <t xml:space="preserve">Student Council Recognition</t>
  </si>
  <si>
    <t xml:space="preserve">Outstanding Community Service Award</t>
  </si>
  <si>
    <t xml:space="preserve">Best Vocalist</t>
  </si>
  <si>
    <t xml:space="preserve">Head Prefect Award</t>
  </si>
  <si>
    <t xml:space="preserve">Art Exhibition First Place</t>
  </si>
  <si>
    <t xml:space="preserve">Merit Award for Academic Performance</t>
  </si>
  <si>
    <t xml:space="preserve">Top in Class</t>
  </si>
  <si>
    <t xml:space="preserve">Sheet</t>
  </si>
  <si>
    <t xml:space="preserve">Field</t>
  </si>
  <si>
    <t xml:space="preserve">Description</t>
  </si>
  <si>
    <t xml:space="preserve">Students</t>
  </si>
  <si>
    <t xml:space="preserve">Unique identifier for each student, used as the key to join all other sheets</t>
  </si>
  <si>
    <t xml:space="preserve">School admission number in YYYY/NNNN format</t>
  </si>
  <si>
    <t xml:space="preserve">Student's full name</t>
  </si>
  <si>
    <t xml:space="preserve">Male / Female</t>
  </si>
  <si>
    <t xml:space="preserve">Date of birth</t>
  </si>
  <si>
    <t xml:space="preserve">Grade 13 class section, e.g. 13A</t>
  </si>
  <si>
    <t xml:space="preserve">A/L subject stream: Physical Science, Biological Science, Commerce, Arts, Technology</t>
  </si>
  <si>
    <t xml:space="preserve">School house for inter-house competitions</t>
  </si>
  <si>
    <t xml:space="preserve">Year the student was admitted to the school</t>
  </si>
  <si>
    <t xml:space="preserve">Year the student sat the GCE A/L examination</t>
  </si>
  <si>
    <t xml:space="preserve">Home address (synthetic)</t>
  </si>
  <si>
    <t xml:space="preserve">Student contact number (synthetic)</t>
  </si>
  <si>
    <t xml:space="preserve">Parent/Guardian name</t>
  </si>
  <si>
    <t xml:space="preserve">Parent/Guardian contact number</t>
  </si>
  <si>
    <t xml:space="preserve">Student school email address</t>
  </si>
  <si>
    <t xml:space="preserve">Graduated or Currently Enrolled</t>
  </si>
  <si>
    <t xml:space="preserve">AL_Results</t>
  </si>
  <si>
    <t xml:space="preserve">Subject1-3 / Grade1-3</t>
  </si>
  <si>
    <t xml:space="preserve">The three main GCE A/L subjects for the student's stream and grades achieved</t>
  </si>
  <si>
    <t xml:space="preserve">Common1/2_Subject/Grade</t>
  </si>
  <si>
    <t xml:space="preserve">Common subjects taken by all streams: General English and Common General Test</t>
  </si>
  <si>
    <t xml:space="preserve">Number of main subjects passed (out of 3, grade other than F)</t>
  </si>
  <si>
    <t xml:space="preserve">Eligible for University Entrance (all 3 passed), Qualified A/L Pass (1-2 passed), or Not Qualified</t>
  </si>
  <si>
    <t xml:space="preserve">Z-score used for Sri Lankan university admission, only computed for students who passed all 3 main subjects</t>
  </si>
  <si>
    <t xml:space="preserve">Clubs_Activities</t>
  </si>
  <si>
    <t xml:space="preserve">Name of the club or society</t>
  </si>
  <si>
    <t xml:space="preserve">Student's role/position held in the activity</t>
  </si>
  <si>
    <t xml:space="preserve">Number of years the student participated</t>
  </si>
  <si>
    <t xml:space="preserve">Sports</t>
  </si>
  <si>
    <t xml:space="preserve">Sport played</t>
  </si>
  <si>
    <t xml:space="preserve">Competition level reached (House to National)</t>
  </si>
  <si>
    <t xml:space="preserve">Outcome/honour achieved</t>
  </si>
  <si>
    <t xml:space="preserve">Awards</t>
  </si>
  <si>
    <t xml:space="preserve">Specific award/prize name</t>
  </si>
  <si>
    <t xml:space="preserve">Award category</t>
  </si>
  <si>
    <t xml:space="preserve">Organization that presented the award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</si>
</sst>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F4E78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8A8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9F2D0"/>
        </patternFill>
      </fill>
    </dxf>
    <dxf>
      <fill>
        <patternFill>
          <bgColor rgb="FFFFEB9C"/>
        </patternFill>
      </fill>
    </dxf>
    <dxf>
      <fill>
        <patternFill>
          <bgColor rgb="FFFFD8A8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6EFCE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EB9C"/>
      <rgbColor rgb="FF99CCFF"/>
      <rgbColor rgb="FFFF99CC"/>
      <rgbColor rgb="FFCC99FF"/>
      <rgbColor rgb="FFFFD8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ctivities" displayName="tbl_Activities" ref="A1:E748" headerRowCount="1" totalsRowCount="0" totalsRowShown="0">
  <autoFilter ref="A1:E748"/>
  <tableColumns count="5">
    <tableColumn id="1" name="StudentID"/>
    <tableColumn id="2" name="ActivityName"/>
    <tableColumn id="3" name="Type"/>
    <tableColumn id="4" name="Role"/>
    <tableColumn id="5" name="YearsActive"/>
  </tableColumns>
</table>
</file>

<file path=xl/tables/table2.xml><?xml version="1.0" encoding="utf-8"?>
<table xmlns="http://schemas.openxmlformats.org/spreadsheetml/2006/main" id="2" name="tbl_ALResults" displayName="tbl_ALResults" ref="A1:P501" headerRowCount="1" totalsRowCount="0" totalsRowShown="0">
  <autoFilter ref="A1:P501"/>
  <tableColumns count="16">
    <tableColumn id="1" name="StudentID"/>
    <tableColumn id="2" name="ALExamYear"/>
    <tableColumn id="3" name="Stream"/>
    <tableColumn id="4" name="Subject1"/>
    <tableColumn id="5" name="Grade1"/>
    <tableColumn id="6" name="Subject2"/>
    <tableColumn id="7" name="Grade2"/>
    <tableColumn id="8" name="Subject3"/>
    <tableColumn id="9" name="Grade3"/>
    <tableColumn id="10" name="Common1_Subject"/>
    <tableColumn id="11" name="Common1_Grade"/>
    <tableColumn id="12" name="Common2_Subject"/>
    <tableColumn id="13" name="Common2_Grade"/>
    <tableColumn id="14" name="SubjectsPassed"/>
    <tableColumn id="15" name="OverallResult"/>
    <tableColumn id="16" name="ZScore"/>
  </tableColumns>
</table>
</file>

<file path=xl/tables/table3.xml><?xml version="1.0" encoding="utf-8"?>
<table xmlns="http://schemas.openxmlformats.org/spreadsheetml/2006/main" id="3" name="tbl_Awards" displayName="tbl_Awards" ref="A1:E274" headerRowCount="1" totalsRowCount="0" totalsRowShown="0">
  <autoFilter ref="A1:E274"/>
  <tableColumns count="5">
    <tableColumn id="1" name="StudentID"/>
    <tableColumn id="2" name="AwardTitle"/>
    <tableColumn id="3" name="Category"/>
    <tableColumn id="4" name="YearAwarded"/>
    <tableColumn id="5" name="AwardingBody"/>
  </tableColumns>
</table>
</file>

<file path=xl/tables/table4.xml><?xml version="1.0" encoding="utf-8"?>
<table xmlns="http://schemas.openxmlformats.org/spreadsheetml/2006/main" id="4" name="tbl_DataDictionary" displayName="tbl_DataDictionary" ref="A1:C31" headerRowCount="1" totalsRowCount="0" totalsRowShown="0">
  <autoFilter ref="A1:C31"/>
  <tableColumns count="3">
    <tableColumn id="1" name="Sheet"/>
    <tableColumn id="2" name="Field"/>
    <tableColumn id="3" name="Description"/>
  </tableColumns>
</table>
</file>

<file path=xl/tables/table5.xml><?xml version="1.0" encoding="utf-8"?>
<table xmlns="http://schemas.openxmlformats.org/spreadsheetml/2006/main" id="5" name="tbl_Sports" displayName="tbl_Sports" ref="A1:E424" headerRowCount="1" totalsRowCount="0" totalsRowShown="0">
  <autoFilter ref="A1:E424"/>
  <tableColumns count="5">
    <tableColumn id="1" name="StudentID"/>
    <tableColumn id="2" name="Sport"/>
    <tableColumn id="3" name="Level"/>
    <tableColumn id="4" name="Achievement"/>
    <tableColumn id="5" name="Year"/>
  </tableColumns>
</table>
</file>

<file path=xl/tables/table6.xml><?xml version="1.0" encoding="utf-8"?>
<table xmlns="http://schemas.openxmlformats.org/spreadsheetml/2006/main" id="6" name="tbl_Students" displayName="tbl_Students" ref="A1:P501" headerRowCount="1" totalsRowCount="0" totalsRowShown="0">
  <autoFilter ref="A1:P501"/>
  <tableColumns count="16">
    <tableColumn id="1" name="StudentID"/>
    <tableColumn id="2" name="AdmissionNumber"/>
    <tableColumn id="3" name="FullName"/>
    <tableColumn id="4" name="Gender"/>
    <tableColumn id="5" name="DateOfBirth"/>
    <tableColumn id="6" name="Class"/>
    <tableColumn id="7" name="Stream"/>
    <tableColumn id="8" name="House"/>
    <tableColumn id="9" name="AdmissionYear"/>
    <tableColumn id="10" name="ALExamYear"/>
    <tableColumn id="11" name="Address"/>
    <tableColumn id="12" name="ContactNumber"/>
    <tableColumn id="13" name="GuardianName"/>
    <tableColumn id="14" name="GuardianContact"/>
    <tableColumn id="15" name="Email"/>
    <tableColumn id="1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8" min="4" style="0" width="12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n">
        <f aca="false">COUNTA(Students!A2:A501)</f>
        <v>500</v>
      </c>
    </row>
    <row r="7" customFormat="false" ht="15" hidden="false" customHeight="false" outlineLevel="0" collapsed="false">
      <c r="B7" s="4" t="s">
        <v>5</v>
      </c>
      <c r="C7" s="5" t="n">
        <f aca="false">COUNTIF(Students!D2:D501,"Male")</f>
        <v>241</v>
      </c>
    </row>
    <row r="8" customFormat="false" ht="15" hidden="false" customHeight="false" outlineLevel="0" collapsed="false">
      <c r="B8" s="4" t="s">
        <v>6</v>
      </c>
      <c r="C8" s="5" t="n">
        <f aca="false">COUNTIF(Students!D2:D501,"Female")</f>
        <v>259</v>
      </c>
    </row>
    <row r="9" customFormat="false" ht="15" hidden="false" customHeight="false" outlineLevel="0" collapsed="false">
      <c r="B9" s="4" t="s">
        <v>7</v>
      </c>
      <c r="C9" s="5" t="n">
        <f aca="false">COUNTIF(AL_Results!O2:O501,"Eligible for University Entrance")</f>
        <v>362</v>
      </c>
    </row>
    <row r="10" customFormat="false" ht="15" hidden="false" customHeight="false" outlineLevel="0" collapsed="false">
      <c r="B10" s="4" t="s">
        <v>8</v>
      </c>
      <c r="C10" s="5" t="n">
        <f aca="false">COUNTA(Clubs_Activities!A2:A748)</f>
        <v>747</v>
      </c>
    </row>
    <row r="11" customFormat="false" ht="15" hidden="false" customHeight="false" outlineLevel="0" collapsed="false">
      <c r="B11" s="4" t="s">
        <v>9</v>
      </c>
      <c r="C11" s="5" t="n">
        <f aca="false">COUNTA(Sports!A2:A424)</f>
        <v>423</v>
      </c>
    </row>
    <row r="12" customFormat="false" ht="15" hidden="false" customHeight="false" outlineLevel="0" collapsed="false">
      <c r="B12" s="4" t="s">
        <v>10</v>
      </c>
      <c r="C12" s="5" t="n">
        <f aca="false">COUNTA(Awards!A2:A274)</f>
        <v>273</v>
      </c>
    </row>
    <row r="13" customFormat="false" ht="15" hidden="false" customHeight="false" outlineLevel="0" collapsed="false">
      <c r="B13" s="4" t="s">
        <v>11</v>
      </c>
      <c r="C13" s="6" t="n">
        <f aca="false">AVERAGE(AL_Results!P2:P501)</f>
        <v>0.255394475138122</v>
      </c>
    </row>
    <row r="16" customFormat="false" ht="15" hidden="false" customHeight="false" outlineLevel="0" collapsed="false">
      <c r="B16" s="3" t="s">
        <v>12</v>
      </c>
      <c r="C16" s="3" t="s">
        <v>13</v>
      </c>
    </row>
    <row r="17" customFormat="false" ht="15" hidden="false" customHeight="false" outlineLevel="0" collapsed="false">
      <c r="B17" s="4" t="s">
        <v>14</v>
      </c>
      <c r="C17" s="7" t="n">
        <f aca="false">COUNTIF(Students!G2:G501,"Physical Science")</f>
        <v>127</v>
      </c>
    </row>
    <row r="18" customFormat="false" ht="15" hidden="false" customHeight="false" outlineLevel="0" collapsed="false">
      <c r="B18" s="4" t="s">
        <v>15</v>
      </c>
      <c r="C18" s="7" t="n">
        <f aca="false">COUNTIF(Students!G2:G501,"Biological Science")</f>
        <v>121</v>
      </c>
    </row>
    <row r="19" customFormat="false" ht="15" hidden="false" customHeight="false" outlineLevel="0" collapsed="false">
      <c r="B19" s="4" t="s">
        <v>16</v>
      </c>
      <c r="C19" s="7" t="n">
        <f aca="false">COUNTIF(Students!G2:G501,"Commerce")</f>
        <v>109</v>
      </c>
    </row>
    <row r="20" customFormat="false" ht="15" hidden="false" customHeight="false" outlineLevel="0" collapsed="false">
      <c r="B20" s="4" t="s">
        <v>17</v>
      </c>
      <c r="C20" s="7" t="n">
        <f aca="false">COUNTIF(Students!G2:G501,"Arts")</f>
        <v>93</v>
      </c>
    </row>
    <row r="21" customFormat="false" ht="15" hidden="false" customHeight="false" outlineLevel="0" collapsed="false">
      <c r="B21" s="4" t="s">
        <v>18</v>
      </c>
      <c r="C21" s="7" t="n">
        <f aca="false">COUNTIF(Students!G2:G501,"Technology")</f>
        <v>50</v>
      </c>
    </row>
    <row r="24" customFormat="false" ht="15" hidden="false" customHeight="false" outlineLevel="0" collapsed="false">
      <c r="B24" s="3" t="s">
        <v>19</v>
      </c>
      <c r="C24" s="3" t="s">
        <v>13</v>
      </c>
    </row>
    <row r="25" customFormat="false" ht="15" hidden="false" customHeight="false" outlineLevel="0" collapsed="false">
      <c r="B25" s="4" t="s">
        <v>20</v>
      </c>
      <c r="C25" s="7" t="n">
        <f aca="false">COUNTIF(AL_Results!E2:E501,"A")+COUNTIF(AL_Results!G2:G501,"A")+COUNTIF(AL_Results!I2:I501,"A")</f>
        <v>251</v>
      </c>
    </row>
    <row r="26" customFormat="false" ht="15" hidden="false" customHeight="false" outlineLevel="0" collapsed="false">
      <c r="B26" s="4" t="s">
        <v>21</v>
      </c>
      <c r="C26" s="7" t="n">
        <f aca="false">COUNTIF(AL_Results!E2:E501,"B")+COUNTIF(AL_Results!G2:G501,"B")+COUNTIF(AL_Results!I2:I501,"B")</f>
        <v>421</v>
      </c>
    </row>
    <row r="27" customFormat="false" ht="15" hidden="false" customHeight="false" outlineLevel="0" collapsed="false">
      <c r="B27" s="4" t="s">
        <v>22</v>
      </c>
      <c r="C27" s="7" t="n">
        <f aca="false">COUNTIF(AL_Results!E2:E501,"C")+COUNTIF(AL_Results!G2:G501,"C")+COUNTIF(AL_Results!I2:I501,"C")</f>
        <v>416</v>
      </c>
    </row>
    <row r="28" customFormat="false" ht="15" hidden="false" customHeight="false" outlineLevel="0" collapsed="false">
      <c r="B28" s="4" t="s">
        <v>23</v>
      </c>
      <c r="C28" s="7" t="n">
        <f aca="false">COUNTIF(AL_Results!E2:E501,"S")+COUNTIF(AL_Results!G2:G501,"S")+COUNTIF(AL_Results!I2:I501,"S")</f>
        <v>257</v>
      </c>
    </row>
    <row r="29" customFormat="false" ht="15" hidden="false" customHeight="false" outlineLevel="0" collapsed="false">
      <c r="B29" s="4" t="s">
        <v>24</v>
      </c>
      <c r="C29" s="7" t="n">
        <f aca="false">COUNTIF(AL_Results!E2:E501,"F")+COUNTIF(AL_Results!G2:G501,"F")+COUNTIF(AL_Results!I2:I501,"F")</f>
        <v>155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38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32"/>
    <col collapsed="false" customWidth="true" hidden="false" outlineLevel="0" max="16" min="16" style="0" width="16"/>
  </cols>
  <sheetData>
    <row r="1" customFormat="false" ht="27.75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  <c r="N1" s="8" t="s">
        <v>38</v>
      </c>
      <c r="O1" s="8" t="s">
        <v>39</v>
      </c>
      <c r="P1" s="8" t="s">
        <v>40</v>
      </c>
    </row>
    <row r="2" customFormat="false" ht="15" hidden="false" customHeight="false" outlineLevel="0" collapsed="false">
      <c r="A2" s="4" t="s">
        <v>41</v>
      </c>
      <c r="B2" s="4" t="s">
        <v>42</v>
      </c>
      <c r="C2" s="4" t="s">
        <v>43</v>
      </c>
      <c r="D2" s="4" t="s">
        <v>44</v>
      </c>
      <c r="E2" s="9" t="n">
        <v>37704</v>
      </c>
      <c r="F2" s="4" t="s">
        <v>45</v>
      </c>
      <c r="G2" s="4" t="s">
        <v>17</v>
      </c>
      <c r="H2" s="4" t="s">
        <v>46</v>
      </c>
      <c r="I2" s="7" t="n">
        <v>2017</v>
      </c>
      <c r="J2" s="7" t="n">
        <v>2022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</row>
    <row r="3" customFormat="false" ht="15" hidden="false" customHeight="false" outlineLevel="0" collapsed="false">
      <c r="A3" s="4" t="s">
        <v>53</v>
      </c>
      <c r="B3" s="4" t="s">
        <v>54</v>
      </c>
      <c r="C3" s="4" t="s">
        <v>55</v>
      </c>
      <c r="D3" s="4" t="s">
        <v>44</v>
      </c>
      <c r="E3" s="9" t="n">
        <v>38105</v>
      </c>
      <c r="F3" s="4" t="s">
        <v>56</v>
      </c>
      <c r="G3" s="4" t="s">
        <v>15</v>
      </c>
      <c r="H3" s="4" t="s">
        <v>57</v>
      </c>
      <c r="I3" s="7" t="n">
        <v>2018</v>
      </c>
      <c r="J3" s="7" t="n">
        <v>2023</v>
      </c>
      <c r="K3" s="4" t="s">
        <v>58</v>
      </c>
      <c r="L3" s="4" t="s">
        <v>59</v>
      </c>
      <c r="M3" s="4" t="s">
        <v>60</v>
      </c>
      <c r="N3" s="4" t="s">
        <v>61</v>
      </c>
      <c r="O3" s="4" t="s">
        <v>62</v>
      </c>
      <c r="P3" s="4" t="s">
        <v>52</v>
      </c>
    </row>
    <row r="4" customFormat="false" ht="15" hidden="false" customHeight="false" outlineLevel="0" collapsed="false">
      <c r="A4" s="4" t="s">
        <v>63</v>
      </c>
      <c r="B4" s="4" t="s">
        <v>64</v>
      </c>
      <c r="C4" s="4" t="s">
        <v>65</v>
      </c>
      <c r="D4" s="4" t="s">
        <v>66</v>
      </c>
      <c r="E4" s="9" t="n">
        <v>39241</v>
      </c>
      <c r="F4" s="4" t="s">
        <v>45</v>
      </c>
      <c r="G4" s="4" t="s">
        <v>15</v>
      </c>
      <c r="H4" s="4" t="s">
        <v>67</v>
      </c>
      <c r="I4" s="7" t="n">
        <v>2020</v>
      </c>
      <c r="J4" s="7" t="n">
        <v>2025</v>
      </c>
      <c r="K4" s="4" t="s">
        <v>68</v>
      </c>
      <c r="L4" s="4" t="s">
        <v>69</v>
      </c>
      <c r="M4" s="4" t="s">
        <v>70</v>
      </c>
      <c r="N4" s="4" t="s">
        <v>71</v>
      </c>
      <c r="O4" s="4" t="s">
        <v>72</v>
      </c>
      <c r="P4" s="4" t="s">
        <v>73</v>
      </c>
    </row>
    <row r="5" customFormat="false" ht="15" hidden="false" customHeight="false" outlineLevel="0" collapsed="false">
      <c r="A5" s="4" t="s">
        <v>74</v>
      </c>
      <c r="B5" s="4" t="s">
        <v>75</v>
      </c>
      <c r="C5" s="4" t="s">
        <v>76</v>
      </c>
      <c r="D5" s="4" t="s">
        <v>44</v>
      </c>
      <c r="E5" s="9" t="n">
        <v>37677</v>
      </c>
      <c r="F5" s="4" t="s">
        <v>77</v>
      </c>
      <c r="G5" s="4" t="s">
        <v>16</v>
      </c>
      <c r="H5" s="4" t="s">
        <v>78</v>
      </c>
      <c r="I5" s="7" t="n">
        <v>2016</v>
      </c>
      <c r="J5" s="7" t="n">
        <v>2021</v>
      </c>
      <c r="K5" s="4" t="s">
        <v>79</v>
      </c>
      <c r="L5" s="4" t="s">
        <v>80</v>
      </c>
      <c r="M5" s="4" t="s">
        <v>81</v>
      </c>
      <c r="N5" s="4" t="s">
        <v>82</v>
      </c>
      <c r="O5" s="4" t="s">
        <v>83</v>
      </c>
      <c r="P5" s="4" t="s">
        <v>52</v>
      </c>
    </row>
    <row r="6" customFormat="false" ht="15" hidden="false" customHeight="false" outlineLevel="0" collapsed="false">
      <c r="A6" s="4" t="s">
        <v>84</v>
      </c>
      <c r="B6" s="4" t="s">
        <v>85</v>
      </c>
      <c r="C6" s="4" t="s">
        <v>86</v>
      </c>
      <c r="D6" s="4" t="s">
        <v>66</v>
      </c>
      <c r="E6" s="9" t="n">
        <v>37786</v>
      </c>
      <c r="F6" s="4" t="s">
        <v>45</v>
      </c>
      <c r="G6" s="4" t="s">
        <v>17</v>
      </c>
      <c r="H6" s="4" t="s">
        <v>67</v>
      </c>
      <c r="I6" s="7" t="n">
        <v>2015</v>
      </c>
      <c r="J6" s="7" t="n">
        <v>2021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4" t="s">
        <v>52</v>
      </c>
    </row>
    <row r="7" customFormat="false" ht="15" hidden="false" customHeight="false" outlineLevel="0" collapsed="false">
      <c r="A7" s="4" t="s">
        <v>92</v>
      </c>
      <c r="B7" s="4" t="s">
        <v>93</v>
      </c>
      <c r="C7" s="4" t="s">
        <v>94</v>
      </c>
      <c r="D7" s="4" t="s">
        <v>66</v>
      </c>
      <c r="E7" s="9" t="n">
        <v>38710</v>
      </c>
      <c r="F7" s="4" t="s">
        <v>77</v>
      </c>
      <c r="G7" s="4" t="s">
        <v>14</v>
      </c>
      <c r="H7" s="4" t="s">
        <v>67</v>
      </c>
      <c r="I7" s="7" t="n">
        <v>2017</v>
      </c>
      <c r="J7" s="7" t="n">
        <v>2023</v>
      </c>
      <c r="K7" s="4" t="s">
        <v>95</v>
      </c>
      <c r="L7" s="4" t="s">
        <v>96</v>
      </c>
      <c r="M7" s="4" t="s">
        <v>97</v>
      </c>
      <c r="N7" s="4" t="s">
        <v>98</v>
      </c>
      <c r="O7" s="4" t="s">
        <v>99</v>
      </c>
      <c r="P7" s="4" t="s">
        <v>52</v>
      </c>
    </row>
    <row r="8" customFormat="false" ht="15" hidden="false" customHeight="false" outlineLevel="0" collapsed="false">
      <c r="A8" s="4" t="s">
        <v>100</v>
      </c>
      <c r="B8" s="4" t="s">
        <v>101</v>
      </c>
      <c r="C8" s="4" t="s">
        <v>102</v>
      </c>
      <c r="D8" s="4" t="s">
        <v>66</v>
      </c>
      <c r="E8" s="9" t="n">
        <v>37488</v>
      </c>
      <c r="F8" s="4" t="s">
        <v>56</v>
      </c>
      <c r="G8" s="4" t="s">
        <v>16</v>
      </c>
      <c r="H8" s="4" t="s">
        <v>57</v>
      </c>
      <c r="I8" s="7" t="n">
        <v>2016</v>
      </c>
      <c r="J8" s="7" t="n">
        <v>2021</v>
      </c>
      <c r="K8" s="4" t="s">
        <v>103</v>
      </c>
      <c r="L8" s="4" t="s">
        <v>104</v>
      </c>
      <c r="M8" s="4" t="s">
        <v>105</v>
      </c>
      <c r="N8" s="4" t="s">
        <v>106</v>
      </c>
      <c r="O8" s="4" t="s">
        <v>107</v>
      </c>
      <c r="P8" s="4" t="s">
        <v>52</v>
      </c>
    </row>
    <row r="9" customFormat="false" ht="15" hidden="false" customHeight="false" outlineLevel="0" collapsed="false">
      <c r="A9" s="4" t="s">
        <v>108</v>
      </c>
      <c r="B9" s="4" t="s">
        <v>109</v>
      </c>
      <c r="C9" s="4" t="s">
        <v>110</v>
      </c>
      <c r="D9" s="4" t="s">
        <v>44</v>
      </c>
      <c r="E9" s="9" t="n">
        <v>38173</v>
      </c>
      <c r="F9" s="4" t="s">
        <v>45</v>
      </c>
      <c r="G9" s="4" t="s">
        <v>15</v>
      </c>
      <c r="H9" s="4" t="s">
        <v>78</v>
      </c>
      <c r="I9" s="7" t="n">
        <v>2018</v>
      </c>
      <c r="J9" s="7" t="n">
        <v>2023</v>
      </c>
      <c r="K9" s="4" t="s">
        <v>111</v>
      </c>
      <c r="L9" s="4" t="s">
        <v>112</v>
      </c>
      <c r="M9" s="4" t="s">
        <v>113</v>
      </c>
      <c r="N9" s="4" t="s">
        <v>114</v>
      </c>
      <c r="O9" s="4" t="s">
        <v>115</v>
      </c>
      <c r="P9" s="4" t="s">
        <v>52</v>
      </c>
    </row>
    <row r="10" customFormat="false" ht="15" hidden="false" customHeight="false" outlineLevel="0" collapsed="false">
      <c r="A10" s="4" t="s">
        <v>116</v>
      </c>
      <c r="B10" s="4" t="s">
        <v>117</v>
      </c>
      <c r="C10" s="4" t="s">
        <v>118</v>
      </c>
      <c r="D10" s="4" t="s">
        <v>66</v>
      </c>
      <c r="E10" s="9" t="n">
        <v>38721</v>
      </c>
      <c r="F10" s="4" t="s">
        <v>56</v>
      </c>
      <c r="G10" s="4" t="s">
        <v>16</v>
      </c>
      <c r="H10" s="4" t="s">
        <v>67</v>
      </c>
      <c r="I10" s="7" t="n">
        <v>2018</v>
      </c>
      <c r="J10" s="7" t="n">
        <v>2024</v>
      </c>
      <c r="K10" s="4" t="s">
        <v>119</v>
      </c>
      <c r="L10" s="4" t="s">
        <v>120</v>
      </c>
      <c r="M10" s="4" t="s">
        <v>121</v>
      </c>
      <c r="N10" s="4" t="s">
        <v>122</v>
      </c>
      <c r="O10" s="4" t="s">
        <v>123</v>
      </c>
      <c r="P10" s="4" t="s">
        <v>52</v>
      </c>
    </row>
    <row r="11" customFormat="false" ht="15" hidden="false" customHeight="false" outlineLevel="0" collapsed="false">
      <c r="A11" s="4" t="s">
        <v>124</v>
      </c>
      <c r="B11" s="4" t="s">
        <v>125</v>
      </c>
      <c r="C11" s="4" t="s">
        <v>126</v>
      </c>
      <c r="D11" s="4" t="s">
        <v>66</v>
      </c>
      <c r="E11" s="9" t="n">
        <v>38456</v>
      </c>
      <c r="F11" s="4" t="s">
        <v>77</v>
      </c>
      <c r="G11" s="4" t="s">
        <v>15</v>
      </c>
      <c r="H11" s="4" t="s">
        <v>46</v>
      </c>
      <c r="I11" s="7" t="n">
        <v>2017</v>
      </c>
      <c r="J11" s="7" t="n">
        <v>2023</v>
      </c>
      <c r="K11" s="4" t="s">
        <v>127</v>
      </c>
      <c r="L11" s="4" t="s">
        <v>128</v>
      </c>
      <c r="M11" s="4" t="s">
        <v>129</v>
      </c>
      <c r="N11" s="4" t="s">
        <v>130</v>
      </c>
      <c r="O11" s="4" t="s">
        <v>131</v>
      </c>
      <c r="P11" s="4" t="s">
        <v>52</v>
      </c>
    </row>
    <row r="12" customFormat="false" ht="15" hidden="false" customHeight="false" outlineLevel="0" collapsed="false">
      <c r="A12" s="4" t="s">
        <v>132</v>
      </c>
      <c r="B12" s="4" t="s">
        <v>133</v>
      </c>
      <c r="C12" s="4" t="s">
        <v>134</v>
      </c>
      <c r="D12" s="4" t="s">
        <v>66</v>
      </c>
      <c r="E12" s="9" t="n">
        <v>38800</v>
      </c>
      <c r="F12" s="4" t="s">
        <v>77</v>
      </c>
      <c r="G12" s="4" t="s">
        <v>14</v>
      </c>
      <c r="H12" s="4" t="s">
        <v>78</v>
      </c>
      <c r="I12" s="7" t="n">
        <v>2018</v>
      </c>
      <c r="J12" s="7" t="n">
        <v>2024</v>
      </c>
      <c r="K12" s="4" t="s">
        <v>135</v>
      </c>
      <c r="L12" s="4" t="s">
        <v>136</v>
      </c>
      <c r="M12" s="4" t="s">
        <v>118</v>
      </c>
      <c r="N12" s="4" t="s">
        <v>137</v>
      </c>
      <c r="O12" s="4" t="s">
        <v>138</v>
      </c>
      <c r="P12" s="4" t="s">
        <v>52</v>
      </c>
    </row>
    <row r="13" customFormat="false" ht="15" hidden="false" customHeight="false" outlineLevel="0" collapsed="false">
      <c r="A13" s="4" t="s">
        <v>139</v>
      </c>
      <c r="B13" s="4" t="s">
        <v>140</v>
      </c>
      <c r="C13" s="4" t="s">
        <v>141</v>
      </c>
      <c r="D13" s="4" t="s">
        <v>66</v>
      </c>
      <c r="E13" s="9" t="n">
        <v>39043</v>
      </c>
      <c r="F13" s="4" t="s">
        <v>142</v>
      </c>
      <c r="G13" s="4" t="s">
        <v>14</v>
      </c>
      <c r="H13" s="4" t="s">
        <v>57</v>
      </c>
      <c r="I13" s="7" t="n">
        <v>2018</v>
      </c>
      <c r="J13" s="7" t="n">
        <v>2024</v>
      </c>
      <c r="K13" s="4" t="s">
        <v>143</v>
      </c>
      <c r="L13" s="4" t="s">
        <v>144</v>
      </c>
      <c r="M13" s="4" t="s">
        <v>145</v>
      </c>
      <c r="N13" s="4" t="s">
        <v>146</v>
      </c>
      <c r="O13" s="4" t="s">
        <v>147</v>
      </c>
      <c r="P13" s="4" t="s">
        <v>52</v>
      </c>
    </row>
    <row r="14" customFormat="false" ht="15" hidden="false" customHeight="false" outlineLevel="0" collapsed="false">
      <c r="A14" s="4" t="s">
        <v>148</v>
      </c>
      <c r="B14" s="4" t="s">
        <v>149</v>
      </c>
      <c r="C14" s="4" t="s">
        <v>150</v>
      </c>
      <c r="D14" s="4" t="s">
        <v>44</v>
      </c>
      <c r="E14" s="9" t="n">
        <v>38952</v>
      </c>
      <c r="F14" s="4" t="s">
        <v>45</v>
      </c>
      <c r="G14" s="4" t="s">
        <v>15</v>
      </c>
      <c r="H14" s="4" t="s">
        <v>57</v>
      </c>
      <c r="I14" s="7" t="n">
        <v>2019</v>
      </c>
      <c r="J14" s="7" t="n">
        <v>2025</v>
      </c>
      <c r="K14" s="4" t="s">
        <v>151</v>
      </c>
      <c r="L14" s="4" t="s">
        <v>152</v>
      </c>
      <c r="M14" s="4" t="s">
        <v>153</v>
      </c>
      <c r="N14" s="4" t="s">
        <v>154</v>
      </c>
      <c r="O14" s="4" t="s">
        <v>155</v>
      </c>
      <c r="P14" s="4" t="s">
        <v>52</v>
      </c>
    </row>
    <row r="15" customFormat="false" ht="15" hidden="false" customHeight="false" outlineLevel="0" collapsed="false">
      <c r="A15" s="4" t="s">
        <v>156</v>
      </c>
      <c r="B15" s="4" t="s">
        <v>157</v>
      </c>
      <c r="C15" s="4" t="s">
        <v>158</v>
      </c>
      <c r="D15" s="4" t="s">
        <v>66</v>
      </c>
      <c r="E15" s="9" t="n">
        <v>37841</v>
      </c>
      <c r="F15" s="4" t="s">
        <v>142</v>
      </c>
      <c r="G15" s="4" t="s">
        <v>16</v>
      </c>
      <c r="H15" s="4" t="s">
        <v>78</v>
      </c>
      <c r="I15" s="7" t="n">
        <v>2015</v>
      </c>
      <c r="J15" s="7" t="n">
        <v>2021</v>
      </c>
      <c r="K15" s="4" t="s">
        <v>159</v>
      </c>
      <c r="L15" s="4" t="s">
        <v>160</v>
      </c>
      <c r="M15" s="4" t="s">
        <v>161</v>
      </c>
      <c r="N15" s="4" t="s">
        <v>162</v>
      </c>
      <c r="O15" s="4" t="s">
        <v>163</v>
      </c>
      <c r="P15" s="4" t="s">
        <v>52</v>
      </c>
    </row>
    <row r="16" customFormat="false" ht="15" hidden="false" customHeight="false" outlineLevel="0" collapsed="false">
      <c r="A16" s="4" t="s">
        <v>164</v>
      </c>
      <c r="B16" s="4" t="s">
        <v>165</v>
      </c>
      <c r="C16" s="4" t="s">
        <v>166</v>
      </c>
      <c r="D16" s="4" t="s">
        <v>66</v>
      </c>
      <c r="E16" s="9" t="n">
        <v>38041</v>
      </c>
      <c r="F16" s="4" t="s">
        <v>77</v>
      </c>
      <c r="G16" s="4" t="s">
        <v>14</v>
      </c>
      <c r="H16" s="4" t="s">
        <v>57</v>
      </c>
      <c r="I16" s="7" t="n">
        <v>2018</v>
      </c>
      <c r="J16" s="7" t="n">
        <v>2023</v>
      </c>
      <c r="K16" s="4" t="s">
        <v>167</v>
      </c>
      <c r="L16" s="4" t="s">
        <v>168</v>
      </c>
      <c r="M16" s="4" t="s">
        <v>169</v>
      </c>
      <c r="N16" s="4" t="s">
        <v>170</v>
      </c>
      <c r="O16" s="4" t="s">
        <v>171</v>
      </c>
      <c r="P16" s="4" t="s">
        <v>52</v>
      </c>
    </row>
    <row r="17" customFormat="false" ht="15" hidden="false" customHeight="false" outlineLevel="0" collapsed="false">
      <c r="A17" s="4" t="s">
        <v>172</v>
      </c>
      <c r="B17" s="4" t="s">
        <v>173</v>
      </c>
      <c r="C17" s="4" t="s">
        <v>174</v>
      </c>
      <c r="D17" s="4" t="s">
        <v>66</v>
      </c>
      <c r="E17" s="9" t="n">
        <v>38410</v>
      </c>
      <c r="F17" s="4" t="s">
        <v>45</v>
      </c>
      <c r="G17" s="4" t="s">
        <v>15</v>
      </c>
      <c r="H17" s="4" t="s">
        <v>57</v>
      </c>
      <c r="I17" s="7" t="n">
        <v>2018</v>
      </c>
      <c r="J17" s="7" t="n">
        <v>2023</v>
      </c>
      <c r="K17" s="4" t="s">
        <v>175</v>
      </c>
      <c r="L17" s="4" t="s">
        <v>176</v>
      </c>
      <c r="M17" s="4" t="s">
        <v>177</v>
      </c>
      <c r="N17" s="4" t="s">
        <v>178</v>
      </c>
      <c r="O17" s="4" t="s">
        <v>179</v>
      </c>
      <c r="P17" s="4" t="s">
        <v>52</v>
      </c>
    </row>
    <row r="18" customFormat="false" ht="15" hidden="false" customHeight="false" outlineLevel="0" collapsed="false">
      <c r="A18" s="4" t="s">
        <v>180</v>
      </c>
      <c r="B18" s="4" t="s">
        <v>181</v>
      </c>
      <c r="C18" s="4" t="s">
        <v>182</v>
      </c>
      <c r="D18" s="4" t="s">
        <v>44</v>
      </c>
      <c r="E18" s="9" t="n">
        <v>38405</v>
      </c>
      <c r="F18" s="4" t="s">
        <v>77</v>
      </c>
      <c r="G18" s="4" t="s">
        <v>15</v>
      </c>
      <c r="H18" s="4" t="s">
        <v>46</v>
      </c>
      <c r="I18" s="7" t="n">
        <v>2018</v>
      </c>
      <c r="J18" s="7" t="n">
        <v>2023</v>
      </c>
      <c r="K18" s="4" t="s">
        <v>183</v>
      </c>
      <c r="L18" s="4" t="s">
        <v>184</v>
      </c>
      <c r="M18" s="4" t="s">
        <v>182</v>
      </c>
      <c r="N18" s="4" t="s">
        <v>185</v>
      </c>
      <c r="O18" s="4" t="s">
        <v>186</v>
      </c>
      <c r="P18" s="4" t="s">
        <v>52</v>
      </c>
    </row>
    <row r="19" customFormat="false" ht="15" hidden="false" customHeight="false" outlineLevel="0" collapsed="false">
      <c r="A19" s="4" t="s">
        <v>187</v>
      </c>
      <c r="B19" s="4" t="s">
        <v>188</v>
      </c>
      <c r="C19" s="4" t="s">
        <v>189</v>
      </c>
      <c r="D19" s="4" t="s">
        <v>44</v>
      </c>
      <c r="E19" s="9" t="n">
        <v>38795</v>
      </c>
      <c r="F19" s="4" t="s">
        <v>45</v>
      </c>
      <c r="G19" s="4" t="s">
        <v>17</v>
      </c>
      <c r="H19" s="4" t="s">
        <v>46</v>
      </c>
      <c r="I19" s="7" t="n">
        <v>2018</v>
      </c>
      <c r="J19" s="7" t="n">
        <v>2024</v>
      </c>
      <c r="K19" s="4" t="s">
        <v>190</v>
      </c>
      <c r="L19" s="4" t="s">
        <v>191</v>
      </c>
      <c r="M19" s="4" t="s">
        <v>192</v>
      </c>
      <c r="N19" s="4" t="s">
        <v>193</v>
      </c>
      <c r="O19" s="4" t="s">
        <v>194</v>
      </c>
      <c r="P19" s="4" t="s">
        <v>52</v>
      </c>
    </row>
    <row r="20" customFormat="false" ht="15" hidden="false" customHeight="false" outlineLevel="0" collapsed="false">
      <c r="A20" s="4" t="s">
        <v>195</v>
      </c>
      <c r="B20" s="4" t="s">
        <v>196</v>
      </c>
      <c r="C20" s="4" t="s">
        <v>197</v>
      </c>
      <c r="D20" s="4" t="s">
        <v>44</v>
      </c>
      <c r="E20" s="9" t="n">
        <v>37302</v>
      </c>
      <c r="F20" s="4" t="s">
        <v>142</v>
      </c>
      <c r="G20" s="4" t="s">
        <v>17</v>
      </c>
      <c r="H20" s="4" t="s">
        <v>78</v>
      </c>
      <c r="I20" s="7" t="n">
        <v>2016</v>
      </c>
      <c r="J20" s="7" t="n">
        <v>2021</v>
      </c>
      <c r="K20" s="4" t="s">
        <v>198</v>
      </c>
      <c r="L20" s="4" t="s">
        <v>199</v>
      </c>
      <c r="M20" s="4" t="s">
        <v>200</v>
      </c>
      <c r="N20" s="4" t="s">
        <v>201</v>
      </c>
      <c r="O20" s="4" t="s">
        <v>202</v>
      </c>
      <c r="P20" s="4" t="s">
        <v>52</v>
      </c>
    </row>
    <row r="21" customFormat="false" ht="15" hidden="false" customHeight="false" outlineLevel="0" collapsed="false">
      <c r="A21" s="4" t="s">
        <v>203</v>
      </c>
      <c r="B21" s="4" t="s">
        <v>204</v>
      </c>
      <c r="C21" s="4" t="s">
        <v>205</v>
      </c>
      <c r="D21" s="4" t="s">
        <v>66</v>
      </c>
      <c r="E21" s="9" t="n">
        <v>39200</v>
      </c>
      <c r="F21" s="4" t="s">
        <v>142</v>
      </c>
      <c r="G21" s="4" t="s">
        <v>15</v>
      </c>
      <c r="H21" s="4" t="s">
        <v>46</v>
      </c>
      <c r="I21" s="7" t="n">
        <v>2019</v>
      </c>
      <c r="J21" s="7" t="n">
        <v>2025</v>
      </c>
      <c r="K21" s="4" t="s">
        <v>206</v>
      </c>
      <c r="L21" s="4" t="s">
        <v>207</v>
      </c>
      <c r="M21" s="4" t="s">
        <v>208</v>
      </c>
      <c r="N21" s="4" t="s">
        <v>209</v>
      </c>
      <c r="O21" s="4" t="s">
        <v>210</v>
      </c>
      <c r="P21" s="4" t="s">
        <v>73</v>
      </c>
    </row>
    <row r="22" customFormat="false" ht="15" hidden="false" customHeight="false" outlineLevel="0" collapsed="false">
      <c r="A22" s="4" t="s">
        <v>211</v>
      </c>
      <c r="B22" s="4" t="s">
        <v>212</v>
      </c>
      <c r="C22" s="4" t="s">
        <v>213</v>
      </c>
      <c r="D22" s="4" t="s">
        <v>66</v>
      </c>
      <c r="E22" s="9" t="n">
        <v>38459</v>
      </c>
      <c r="F22" s="4" t="s">
        <v>77</v>
      </c>
      <c r="G22" s="4" t="s">
        <v>16</v>
      </c>
      <c r="H22" s="4" t="s">
        <v>57</v>
      </c>
      <c r="I22" s="7" t="n">
        <v>2018</v>
      </c>
      <c r="J22" s="7" t="n">
        <v>2024</v>
      </c>
      <c r="K22" s="4" t="s">
        <v>214</v>
      </c>
      <c r="L22" s="4" t="s">
        <v>215</v>
      </c>
      <c r="M22" s="4" t="s">
        <v>216</v>
      </c>
      <c r="N22" s="4" t="s">
        <v>217</v>
      </c>
      <c r="O22" s="4" t="s">
        <v>218</v>
      </c>
      <c r="P22" s="4" t="s">
        <v>52</v>
      </c>
    </row>
    <row r="23" customFormat="false" ht="15" hidden="false" customHeight="false" outlineLevel="0" collapsed="false">
      <c r="A23" s="4" t="s">
        <v>219</v>
      </c>
      <c r="B23" s="4" t="s">
        <v>220</v>
      </c>
      <c r="C23" s="4" t="s">
        <v>221</v>
      </c>
      <c r="D23" s="4" t="s">
        <v>44</v>
      </c>
      <c r="E23" s="9" t="n">
        <v>39227</v>
      </c>
      <c r="F23" s="4" t="s">
        <v>77</v>
      </c>
      <c r="G23" s="4" t="s">
        <v>17</v>
      </c>
      <c r="H23" s="4" t="s">
        <v>57</v>
      </c>
      <c r="I23" s="7" t="n">
        <v>2020</v>
      </c>
      <c r="J23" s="7" t="n">
        <v>2025</v>
      </c>
      <c r="K23" s="4" t="s">
        <v>222</v>
      </c>
      <c r="L23" s="4" t="s">
        <v>223</v>
      </c>
      <c r="M23" s="4" t="s">
        <v>224</v>
      </c>
      <c r="N23" s="4" t="s">
        <v>225</v>
      </c>
      <c r="O23" s="4" t="s">
        <v>226</v>
      </c>
      <c r="P23" s="4" t="s">
        <v>52</v>
      </c>
    </row>
    <row r="24" customFormat="false" ht="15" hidden="false" customHeight="false" outlineLevel="0" collapsed="false">
      <c r="A24" s="4" t="s">
        <v>227</v>
      </c>
      <c r="B24" s="4" t="s">
        <v>228</v>
      </c>
      <c r="C24" s="4" t="s">
        <v>229</v>
      </c>
      <c r="D24" s="4" t="s">
        <v>66</v>
      </c>
      <c r="E24" s="9" t="n">
        <v>38941</v>
      </c>
      <c r="F24" s="4" t="s">
        <v>56</v>
      </c>
      <c r="G24" s="4" t="s">
        <v>15</v>
      </c>
      <c r="H24" s="4" t="s">
        <v>67</v>
      </c>
      <c r="I24" s="7" t="n">
        <v>2019</v>
      </c>
      <c r="J24" s="7" t="n">
        <v>2025</v>
      </c>
      <c r="K24" s="4" t="s">
        <v>230</v>
      </c>
      <c r="L24" s="4" t="s">
        <v>231</v>
      </c>
      <c r="M24" s="4" t="s">
        <v>232</v>
      </c>
      <c r="N24" s="4" t="s">
        <v>233</v>
      </c>
      <c r="O24" s="4" t="s">
        <v>234</v>
      </c>
      <c r="P24" s="4" t="s">
        <v>73</v>
      </c>
    </row>
    <row r="25" customFormat="false" ht="15" hidden="false" customHeight="false" outlineLevel="0" collapsed="false">
      <c r="A25" s="4" t="s">
        <v>235</v>
      </c>
      <c r="B25" s="4" t="s">
        <v>236</v>
      </c>
      <c r="C25" s="4" t="s">
        <v>237</v>
      </c>
      <c r="D25" s="4" t="s">
        <v>66</v>
      </c>
      <c r="E25" s="9" t="n">
        <v>38303</v>
      </c>
      <c r="F25" s="4" t="s">
        <v>77</v>
      </c>
      <c r="G25" s="4" t="s">
        <v>15</v>
      </c>
      <c r="H25" s="4" t="s">
        <v>67</v>
      </c>
      <c r="I25" s="7" t="n">
        <v>2017</v>
      </c>
      <c r="J25" s="7" t="n">
        <v>2023</v>
      </c>
      <c r="K25" s="4" t="s">
        <v>238</v>
      </c>
      <c r="L25" s="4" t="s">
        <v>239</v>
      </c>
      <c r="M25" s="4" t="s">
        <v>240</v>
      </c>
      <c r="N25" s="4" t="s">
        <v>241</v>
      </c>
      <c r="O25" s="4" t="s">
        <v>242</v>
      </c>
      <c r="P25" s="4" t="s">
        <v>52</v>
      </c>
    </row>
    <row r="26" customFormat="false" ht="15" hidden="false" customHeight="false" outlineLevel="0" collapsed="false">
      <c r="A26" s="4" t="s">
        <v>243</v>
      </c>
      <c r="B26" s="4" t="s">
        <v>244</v>
      </c>
      <c r="C26" s="4" t="s">
        <v>245</v>
      </c>
      <c r="D26" s="4" t="s">
        <v>44</v>
      </c>
      <c r="E26" s="9" t="n">
        <v>37483</v>
      </c>
      <c r="F26" s="4" t="s">
        <v>142</v>
      </c>
      <c r="G26" s="4" t="s">
        <v>16</v>
      </c>
      <c r="H26" s="4" t="s">
        <v>57</v>
      </c>
      <c r="I26" s="7" t="n">
        <v>2015</v>
      </c>
      <c r="J26" s="7" t="n">
        <v>2021</v>
      </c>
      <c r="K26" s="4" t="s">
        <v>246</v>
      </c>
      <c r="L26" s="4" t="s">
        <v>247</v>
      </c>
      <c r="M26" s="4" t="s">
        <v>248</v>
      </c>
      <c r="N26" s="4" t="s">
        <v>249</v>
      </c>
      <c r="O26" s="4" t="s">
        <v>250</v>
      </c>
      <c r="P26" s="4" t="s">
        <v>52</v>
      </c>
    </row>
    <row r="27" customFormat="false" ht="15" hidden="false" customHeight="false" outlineLevel="0" collapsed="false">
      <c r="A27" s="4" t="s">
        <v>251</v>
      </c>
      <c r="B27" s="4" t="s">
        <v>252</v>
      </c>
      <c r="C27" s="4" t="s">
        <v>253</v>
      </c>
      <c r="D27" s="4" t="s">
        <v>66</v>
      </c>
      <c r="E27" s="9" t="n">
        <v>39055</v>
      </c>
      <c r="F27" s="4" t="s">
        <v>56</v>
      </c>
      <c r="G27" s="4" t="s">
        <v>15</v>
      </c>
      <c r="H27" s="4" t="s">
        <v>78</v>
      </c>
      <c r="I27" s="7" t="n">
        <v>2018</v>
      </c>
      <c r="J27" s="7" t="n">
        <v>2024</v>
      </c>
      <c r="K27" s="4" t="s">
        <v>254</v>
      </c>
      <c r="L27" s="4" t="s">
        <v>255</v>
      </c>
      <c r="M27" s="4" t="s">
        <v>256</v>
      </c>
      <c r="N27" s="4" t="s">
        <v>257</v>
      </c>
      <c r="O27" s="4" t="s">
        <v>258</v>
      </c>
      <c r="P27" s="4" t="s">
        <v>52</v>
      </c>
    </row>
    <row r="28" customFormat="false" ht="15" hidden="false" customHeight="false" outlineLevel="0" collapsed="false">
      <c r="A28" s="4" t="s">
        <v>259</v>
      </c>
      <c r="B28" s="4" t="s">
        <v>260</v>
      </c>
      <c r="C28" s="4" t="s">
        <v>216</v>
      </c>
      <c r="D28" s="4" t="s">
        <v>44</v>
      </c>
      <c r="E28" s="9" t="n">
        <v>37902</v>
      </c>
      <c r="F28" s="4" t="s">
        <v>45</v>
      </c>
      <c r="G28" s="4" t="s">
        <v>16</v>
      </c>
      <c r="H28" s="4" t="s">
        <v>78</v>
      </c>
      <c r="I28" s="7" t="n">
        <v>2015</v>
      </c>
      <c r="J28" s="7" t="n">
        <v>2021</v>
      </c>
      <c r="K28" s="4" t="s">
        <v>261</v>
      </c>
      <c r="L28" s="4" t="s">
        <v>262</v>
      </c>
      <c r="M28" s="4" t="s">
        <v>263</v>
      </c>
      <c r="N28" s="4" t="s">
        <v>264</v>
      </c>
      <c r="O28" s="4" t="s">
        <v>265</v>
      </c>
      <c r="P28" s="4" t="s">
        <v>52</v>
      </c>
    </row>
    <row r="29" customFormat="false" ht="15" hidden="false" customHeight="false" outlineLevel="0" collapsed="false">
      <c r="A29" s="4" t="s">
        <v>266</v>
      </c>
      <c r="B29" s="4" t="s">
        <v>267</v>
      </c>
      <c r="C29" s="4" t="s">
        <v>268</v>
      </c>
      <c r="D29" s="4" t="s">
        <v>66</v>
      </c>
      <c r="E29" s="9" t="n">
        <v>38832</v>
      </c>
      <c r="F29" s="4" t="s">
        <v>56</v>
      </c>
      <c r="G29" s="4" t="s">
        <v>15</v>
      </c>
      <c r="H29" s="4" t="s">
        <v>46</v>
      </c>
      <c r="I29" s="7" t="n">
        <v>2019</v>
      </c>
      <c r="J29" s="7" t="n">
        <v>2024</v>
      </c>
      <c r="K29" s="4" t="s">
        <v>269</v>
      </c>
      <c r="L29" s="4" t="s">
        <v>270</v>
      </c>
      <c r="M29" s="4" t="s">
        <v>271</v>
      </c>
      <c r="N29" s="4" t="s">
        <v>272</v>
      </c>
      <c r="O29" s="4" t="s">
        <v>273</v>
      </c>
      <c r="P29" s="4" t="s">
        <v>52</v>
      </c>
    </row>
    <row r="30" customFormat="false" ht="15" hidden="false" customHeight="false" outlineLevel="0" collapsed="false">
      <c r="A30" s="4" t="s">
        <v>274</v>
      </c>
      <c r="B30" s="4" t="s">
        <v>275</v>
      </c>
      <c r="C30" s="4" t="s">
        <v>276</v>
      </c>
      <c r="D30" s="4" t="s">
        <v>66</v>
      </c>
      <c r="E30" s="9" t="n">
        <v>38196</v>
      </c>
      <c r="F30" s="4" t="s">
        <v>142</v>
      </c>
      <c r="G30" s="4" t="s">
        <v>15</v>
      </c>
      <c r="H30" s="4" t="s">
        <v>67</v>
      </c>
      <c r="I30" s="7" t="n">
        <v>2018</v>
      </c>
      <c r="J30" s="7" t="n">
        <v>2023</v>
      </c>
      <c r="K30" s="4" t="s">
        <v>277</v>
      </c>
      <c r="L30" s="4" t="s">
        <v>278</v>
      </c>
      <c r="M30" s="4" t="s">
        <v>279</v>
      </c>
      <c r="N30" s="4" t="s">
        <v>280</v>
      </c>
      <c r="O30" s="4" t="s">
        <v>281</v>
      </c>
      <c r="P30" s="4" t="s">
        <v>52</v>
      </c>
    </row>
    <row r="31" customFormat="false" ht="15" hidden="false" customHeight="false" outlineLevel="0" collapsed="false">
      <c r="A31" s="4" t="s">
        <v>282</v>
      </c>
      <c r="B31" s="4" t="s">
        <v>283</v>
      </c>
      <c r="C31" s="4" t="s">
        <v>256</v>
      </c>
      <c r="D31" s="4" t="s">
        <v>44</v>
      </c>
      <c r="E31" s="9" t="n">
        <v>38364</v>
      </c>
      <c r="F31" s="4" t="s">
        <v>45</v>
      </c>
      <c r="G31" s="4" t="s">
        <v>16</v>
      </c>
      <c r="H31" s="4" t="s">
        <v>46</v>
      </c>
      <c r="I31" s="7" t="n">
        <v>2018</v>
      </c>
      <c r="J31" s="7" t="n">
        <v>2024</v>
      </c>
      <c r="K31" s="4" t="s">
        <v>284</v>
      </c>
      <c r="L31" s="4" t="s">
        <v>285</v>
      </c>
      <c r="M31" s="4" t="s">
        <v>286</v>
      </c>
      <c r="N31" s="4" t="s">
        <v>287</v>
      </c>
      <c r="O31" s="4" t="s">
        <v>288</v>
      </c>
      <c r="P31" s="4" t="s">
        <v>52</v>
      </c>
    </row>
    <row r="32" customFormat="false" ht="15" hidden="false" customHeight="false" outlineLevel="0" collapsed="false">
      <c r="A32" s="4" t="s">
        <v>289</v>
      </c>
      <c r="B32" s="4" t="s">
        <v>290</v>
      </c>
      <c r="C32" s="4" t="s">
        <v>208</v>
      </c>
      <c r="D32" s="4" t="s">
        <v>66</v>
      </c>
      <c r="E32" s="9" t="n">
        <v>38679</v>
      </c>
      <c r="F32" s="4" t="s">
        <v>45</v>
      </c>
      <c r="G32" s="4" t="s">
        <v>16</v>
      </c>
      <c r="H32" s="4" t="s">
        <v>78</v>
      </c>
      <c r="I32" s="7" t="n">
        <v>2017</v>
      </c>
      <c r="J32" s="7" t="n">
        <v>2023</v>
      </c>
      <c r="K32" s="4" t="s">
        <v>291</v>
      </c>
      <c r="L32" s="4" t="s">
        <v>292</v>
      </c>
      <c r="M32" s="4" t="s">
        <v>293</v>
      </c>
      <c r="N32" s="4" t="s">
        <v>294</v>
      </c>
      <c r="O32" s="4" t="s">
        <v>295</v>
      </c>
      <c r="P32" s="4" t="s">
        <v>52</v>
      </c>
    </row>
    <row r="33" customFormat="false" ht="15" hidden="false" customHeight="false" outlineLevel="0" collapsed="false">
      <c r="A33" s="4" t="s">
        <v>296</v>
      </c>
      <c r="B33" s="4" t="s">
        <v>297</v>
      </c>
      <c r="C33" s="4" t="s">
        <v>298</v>
      </c>
      <c r="D33" s="4" t="s">
        <v>66</v>
      </c>
      <c r="E33" s="9" t="n">
        <v>38603</v>
      </c>
      <c r="F33" s="4" t="s">
        <v>142</v>
      </c>
      <c r="G33" s="4" t="s">
        <v>17</v>
      </c>
      <c r="H33" s="4" t="s">
        <v>57</v>
      </c>
      <c r="I33" s="7" t="n">
        <v>2018</v>
      </c>
      <c r="J33" s="7" t="n">
        <v>2024</v>
      </c>
      <c r="K33" s="4" t="s">
        <v>299</v>
      </c>
      <c r="L33" s="4" t="s">
        <v>300</v>
      </c>
      <c r="M33" s="4" t="s">
        <v>301</v>
      </c>
      <c r="N33" s="4" t="s">
        <v>302</v>
      </c>
      <c r="O33" s="4" t="s">
        <v>303</v>
      </c>
      <c r="P33" s="4" t="s">
        <v>52</v>
      </c>
    </row>
    <row r="34" customFormat="false" ht="15" hidden="false" customHeight="false" outlineLevel="0" collapsed="false">
      <c r="A34" s="4" t="s">
        <v>304</v>
      </c>
      <c r="B34" s="4" t="s">
        <v>305</v>
      </c>
      <c r="C34" s="4" t="s">
        <v>306</v>
      </c>
      <c r="D34" s="4" t="s">
        <v>66</v>
      </c>
      <c r="E34" s="9" t="n">
        <v>37776</v>
      </c>
      <c r="F34" s="4" t="s">
        <v>45</v>
      </c>
      <c r="G34" s="4" t="s">
        <v>14</v>
      </c>
      <c r="H34" s="4" t="s">
        <v>78</v>
      </c>
      <c r="I34" s="7" t="n">
        <v>2016</v>
      </c>
      <c r="J34" s="7" t="n">
        <v>2022</v>
      </c>
      <c r="K34" s="4" t="s">
        <v>307</v>
      </c>
      <c r="L34" s="4" t="s">
        <v>308</v>
      </c>
      <c r="M34" s="4" t="s">
        <v>309</v>
      </c>
      <c r="N34" s="4" t="s">
        <v>310</v>
      </c>
      <c r="O34" s="4" t="s">
        <v>311</v>
      </c>
      <c r="P34" s="4" t="s">
        <v>52</v>
      </c>
    </row>
    <row r="35" customFormat="false" ht="15" hidden="false" customHeight="false" outlineLevel="0" collapsed="false">
      <c r="A35" s="4" t="s">
        <v>312</v>
      </c>
      <c r="B35" s="4" t="s">
        <v>313</v>
      </c>
      <c r="C35" s="4" t="s">
        <v>314</v>
      </c>
      <c r="D35" s="4" t="s">
        <v>66</v>
      </c>
      <c r="E35" s="9" t="n">
        <v>39130</v>
      </c>
      <c r="F35" s="4" t="s">
        <v>45</v>
      </c>
      <c r="G35" s="4" t="s">
        <v>17</v>
      </c>
      <c r="H35" s="4" t="s">
        <v>46</v>
      </c>
      <c r="I35" s="7" t="n">
        <v>2020</v>
      </c>
      <c r="J35" s="7" t="n">
        <v>2025</v>
      </c>
      <c r="K35" s="4" t="s">
        <v>315</v>
      </c>
      <c r="L35" s="4" t="s">
        <v>316</v>
      </c>
      <c r="M35" s="4" t="s">
        <v>317</v>
      </c>
      <c r="N35" s="4" t="s">
        <v>318</v>
      </c>
      <c r="O35" s="4" t="s">
        <v>319</v>
      </c>
      <c r="P35" s="4" t="s">
        <v>52</v>
      </c>
    </row>
    <row r="36" customFormat="false" ht="15" hidden="false" customHeight="false" outlineLevel="0" collapsed="false">
      <c r="A36" s="4" t="s">
        <v>320</v>
      </c>
      <c r="B36" s="4" t="s">
        <v>321</v>
      </c>
      <c r="C36" s="4" t="s">
        <v>322</v>
      </c>
      <c r="D36" s="4" t="s">
        <v>66</v>
      </c>
      <c r="E36" s="9" t="n">
        <v>38792</v>
      </c>
      <c r="F36" s="4" t="s">
        <v>56</v>
      </c>
      <c r="G36" s="4" t="s">
        <v>18</v>
      </c>
      <c r="H36" s="4" t="s">
        <v>67</v>
      </c>
      <c r="I36" s="7" t="n">
        <v>2018</v>
      </c>
      <c r="J36" s="7" t="n">
        <v>2024</v>
      </c>
      <c r="K36" s="4" t="s">
        <v>323</v>
      </c>
      <c r="L36" s="4" t="s">
        <v>324</v>
      </c>
      <c r="M36" s="4" t="s">
        <v>325</v>
      </c>
      <c r="N36" s="4" t="s">
        <v>326</v>
      </c>
      <c r="O36" s="4" t="s">
        <v>327</v>
      </c>
      <c r="P36" s="4" t="s">
        <v>52</v>
      </c>
    </row>
    <row r="37" customFormat="false" ht="15" hidden="false" customHeight="false" outlineLevel="0" collapsed="false">
      <c r="A37" s="4" t="s">
        <v>328</v>
      </c>
      <c r="B37" s="4" t="s">
        <v>329</v>
      </c>
      <c r="C37" s="4" t="s">
        <v>330</v>
      </c>
      <c r="D37" s="4" t="s">
        <v>66</v>
      </c>
      <c r="E37" s="9" t="n">
        <v>39036</v>
      </c>
      <c r="F37" s="4" t="s">
        <v>45</v>
      </c>
      <c r="G37" s="4" t="s">
        <v>15</v>
      </c>
      <c r="H37" s="4" t="s">
        <v>57</v>
      </c>
      <c r="I37" s="7" t="n">
        <v>2019</v>
      </c>
      <c r="J37" s="7" t="n">
        <v>2025</v>
      </c>
      <c r="K37" s="4" t="s">
        <v>331</v>
      </c>
      <c r="L37" s="4" t="s">
        <v>332</v>
      </c>
      <c r="M37" s="4" t="s">
        <v>333</v>
      </c>
      <c r="N37" s="4" t="s">
        <v>334</v>
      </c>
      <c r="O37" s="4" t="s">
        <v>335</v>
      </c>
      <c r="P37" s="4" t="s">
        <v>73</v>
      </c>
    </row>
    <row r="38" customFormat="false" ht="15" hidden="false" customHeight="false" outlineLevel="0" collapsed="false">
      <c r="A38" s="4" t="s">
        <v>336</v>
      </c>
      <c r="B38" s="4" t="s">
        <v>337</v>
      </c>
      <c r="C38" s="4" t="s">
        <v>338</v>
      </c>
      <c r="D38" s="4" t="s">
        <v>44</v>
      </c>
      <c r="E38" s="9" t="n">
        <v>37998</v>
      </c>
      <c r="F38" s="4" t="s">
        <v>77</v>
      </c>
      <c r="G38" s="4" t="s">
        <v>17</v>
      </c>
      <c r="H38" s="4" t="s">
        <v>67</v>
      </c>
      <c r="I38" s="7" t="n">
        <v>2016</v>
      </c>
      <c r="J38" s="7" t="n">
        <v>2022</v>
      </c>
      <c r="K38" s="4" t="s">
        <v>339</v>
      </c>
      <c r="L38" s="4" t="s">
        <v>340</v>
      </c>
      <c r="M38" s="4" t="s">
        <v>341</v>
      </c>
      <c r="N38" s="4" t="s">
        <v>342</v>
      </c>
      <c r="O38" s="4" t="s">
        <v>343</v>
      </c>
      <c r="P38" s="4" t="s">
        <v>52</v>
      </c>
    </row>
    <row r="39" customFormat="false" ht="15" hidden="false" customHeight="false" outlineLevel="0" collapsed="false">
      <c r="A39" s="4" t="s">
        <v>344</v>
      </c>
      <c r="B39" s="4" t="s">
        <v>345</v>
      </c>
      <c r="C39" s="4" t="s">
        <v>346</v>
      </c>
      <c r="D39" s="4" t="s">
        <v>44</v>
      </c>
      <c r="E39" s="9" t="n">
        <v>38798</v>
      </c>
      <c r="F39" s="4" t="s">
        <v>45</v>
      </c>
      <c r="G39" s="4" t="s">
        <v>18</v>
      </c>
      <c r="H39" s="4" t="s">
        <v>67</v>
      </c>
      <c r="I39" s="7" t="n">
        <v>2019</v>
      </c>
      <c r="J39" s="7" t="n">
        <v>2025</v>
      </c>
      <c r="K39" s="4" t="s">
        <v>347</v>
      </c>
      <c r="L39" s="4" t="s">
        <v>348</v>
      </c>
      <c r="M39" s="4" t="s">
        <v>349</v>
      </c>
      <c r="N39" s="4" t="s">
        <v>350</v>
      </c>
      <c r="O39" s="4" t="s">
        <v>351</v>
      </c>
      <c r="P39" s="4" t="s">
        <v>73</v>
      </c>
    </row>
    <row r="40" customFormat="false" ht="15" hidden="false" customHeight="false" outlineLevel="0" collapsed="false">
      <c r="A40" s="4" t="s">
        <v>352</v>
      </c>
      <c r="B40" s="4" t="s">
        <v>353</v>
      </c>
      <c r="C40" s="4" t="s">
        <v>354</v>
      </c>
      <c r="D40" s="4" t="s">
        <v>66</v>
      </c>
      <c r="E40" s="9" t="n">
        <v>37791</v>
      </c>
      <c r="F40" s="4" t="s">
        <v>142</v>
      </c>
      <c r="G40" s="4" t="s">
        <v>17</v>
      </c>
      <c r="H40" s="4" t="s">
        <v>46</v>
      </c>
      <c r="I40" s="7" t="n">
        <v>2016</v>
      </c>
      <c r="J40" s="7" t="n">
        <v>2022</v>
      </c>
      <c r="K40" s="4" t="s">
        <v>355</v>
      </c>
      <c r="L40" s="4" t="s">
        <v>356</v>
      </c>
      <c r="M40" s="4" t="s">
        <v>357</v>
      </c>
      <c r="N40" s="4" t="s">
        <v>358</v>
      </c>
      <c r="O40" s="4" t="s">
        <v>359</v>
      </c>
      <c r="P40" s="4" t="s">
        <v>52</v>
      </c>
    </row>
    <row r="41" customFormat="false" ht="15" hidden="false" customHeight="false" outlineLevel="0" collapsed="false">
      <c r="A41" s="4" t="s">
        <v>360</v>
      </c>
      <c r="B41" s="4" t="s">
        <v>361</v>
      </c>
      <c r="C41" s="4" t="s">
        <v>362</v>
      </c>
      <c r="D41" s="4" t="s">
        <v>66</v>
      </c>
      <c r="E41" s="9" t="n">
        <v>37911</v>
      </c>
      <c r="F41" s="4" t="s">
        <v>45</v>
      </c>
      <c r="G41" s="4" t="s">
        <v>14</v>
      </c>
      <c r="H41" s="4" t="s">
        <v>57</v>
      </c>
      <c r="I41" s="7" t="n">
        <v>2016</v>
      </c>
      <c r="J41" s="7" t="n">
        <v>2022</v>
      </c>
      <c r="K41" s="4" t="s">
        <v>363</v>
      </c>
      <c r="L41" s="4" t="s">
        <v>364</v>
      </c>
      <c r="M41" s="4" t="s">
        <v>365</v>
      </c>
      <c r="N41" s="4" t="s">
        <v>366</v>
      </c>
      <c r="O41" s="4" t="s">
        <v>367</v>
      </c>
      <c r="P41" s="4" t="s">
        <v>52</v>
      </c>
    </row>
    <row r="42" customFormat="false" ht="15" hidden="false" customHeight="false" outlineLevel="0" collapsed="false">
      <c r="A42" s="4" t="s">
        <v>368</v>
      </c>
      <c r="B42" s="4" t="s">
        <v>369</v>
      </c>
      <c r="C42" s="4" t="s">
        <v>370</v>
      </c>
      <c r="D42" s="4" t="s">
        <v>44</v>
      </c>
      <c r="E42" s="9" t="n">
        <v>37844</v>
      </c>
      <c r="F42" s="4" t="s">
        <v>77</v>
      </c>
      <c r="G42" s="4" t="s">
        <v>15</v>
      </c>
      <c r="H42" s="4" t="s">
        <v>46</v>
      </c>
      <c r="I42" s="7" t="n">
        <v>2016</v>
      </c>
      <c r="J42" s="7" t="n">
        <v>2022</v>
      </c>
      <c r="K42" s="4" t="s">
        <v>371</v>
      </c>
      <c r="L42" s="4" t="s">
        <v>372</v>
      </c>
      <c r="M42" s="4" t="s">
        <v>373</v>
      </c>
      <c r="N42" s="4" t="s">
        <v>374</v>
      </c>
      <c r="O42" s="4" t="s">
        <v>375</v>
      </c>
      <c r="P42" s="4" t="s">
        <v>52</v>
      </c>
    </row>
    <row r="43" customFormat="false" ht="15" hidden="false" customHeight="false" outlineLevel="0" collapsed="false">
      <c r="A43" s="4" t="s">
        <v>376</v>
      </c>
      <c r="B43" s="4" t="s">
        <v>377</v>
      </c>
      <c r="C43" s="4" t="s">
        <v>378</v>
      </c>
      <c r="D43" s="4" t="s">
        <v>66</v>
      </c>
      <c r="E43" s="9" t="n">
        <v>39290</v>
      </c>
      <c r="F43" s="4" t="s">
        <v>77</v>
      </c>
      <c r="G43" s="4" t="s">
        <v>17</v>
      </c>
      <c r="H43" s="4" t="s">
        <v>78</v>
      </c>
      <c r="I43" s="7" t="n">
        <v>2019</v>
      </c>
      <c r="J43" s="7" t="n">
        <v>2025</v>
      </c>
      <c r="K43" s="4" t="s">
        <v>379</v>
      </c>
      <c r="L43" s="4" t="s">
        <v>380</v>
      </c>
      <c r="M43" s="4" t="s">
        <v>381</v>
      </c>
      <c r="N43" s="4" t="s">
        <v>382</v>
      </c>
      <c r="O43" s="4" t="s">
        <v>383</v>
      </c>
      <c r="P43" s="4" t="s">
        <v>52</v>
      </c>
    </row>
    <row r="44" customFormat="false" ht="15" hidden="false" customHeight="false" outlineLevel="0" collapsed="false">
      <c r="A44" s="4" t="s">
        <v>384</v>
      </c>
      <c r="B44" s="4" t="s">
        <v>385</v>
      </c>
      <c r="C44" s="4" t="s">
        <v>386</v>
      </c>
      <c r="D44" s="4" t="s">
        <v>44</v>
      </c>
      <c r="E44" s="9" t="n">
        <v>38790</v>
      </c>
      <c r="F44" s="4" t="s">
        <v>142</v>
      </c>
      <c r="G44" s="4" t="s">
        <v>18</v>
      </c>
      <c r="H44" s="4" t="s">
        <v>46</v>
      </c>
      <c r="I44" s="7" t="n">
        <v>2020</v>
      </c>
      <c r="J44" s="7" t="n">
        <v>2025</v>
      </c>
      <c r="K44" s="4" t="s">
        <v>387</v>
      </c>
      <c r="L44" s="4" t="s">
        <v>388</v>
      </c>
      <c r="M44" s="4" t="s">
        <v>389</v>
      </c>
      <c r="N44" s="4" t="s">
        <v>390</v>
      </c>
      <c r="O44" s="4" t="s">
        <v>391</v>
      </c>
      <c r="P44" s="4" t="s">
        <v>52</v>
      </c>
    </row>
    <row r="45" customFormat="false" ht="15" hidden="false" customHeight="false" outlineLevel="0" collapsed="false">
      <c r="A45" s="4" t="s">
        <v>392</v>
      </c>
      <c r="B45" s="4" t="s">
        <v>393</v>
      </c>
      <c r="C45" s="4" t="s">
        <v>394</v>
      </c>
      <c r="D45" s="4" t="s">
        <v>44</v>
      </c>
      <c r="E45" s="9" t="n">
        <v>38589</v>
      </c>
      <c r="F45" s="4" t="s">
        <v>45</v>
      </c>
      <c r="G45" s="4" t="s">
        <v>15</v>
      </c>
      <c r="H45" s="4" t="s">
        <v>78</v>
      </c>
      <c r="I45" s="7" t="n">
        <v>2018</v>
      </c>
      <c r="J45" s="7" t="n">
        <v>2024</v>
      </c>
      <c r="K45" s="4" t="s">
        <v>395</v>
      </c>
      <c r="L45" s="4" t="s">
        <v>396</v>
      </c>
      <c r="M45" s="4" t="s">
        <v>397</v>
      </c>
      <c r="N45" s="4" t="s">
        <v>398</v>
      </c>
      <c r="O45" s="4" t="s">
        <v>399</v>
      </c>
      <c r="P45" s="4" t="s">
        <v>52</v>
      </c>
    </row>
    <row r="46" customFormat="false" ht="15" hidden="false" customHeight="false" outlineLevel="0" collapsed="false">
      <c r="A46" s="4" t="s">
        <v>400</v>
      </c>
      <c r="B46" s="4" t="s">
        <v>401</v>
      </c>
      <c r="C46" s="4" t="s">
        <v>402</v>
      </c>
      <c r="D46" s="4" t="s">
        <v>44</v>
      </c>
      <c r="E46" s="9" t="n">
        <v>39135</v>
      </c>
      <c r="F46" s="4" t="s">
        <v>45</v>
      </c>
      <c r="G46" s="4" t="s">
        <v>16</v>
      </c>
      <c r="H46" s="4" t="s">
        <v>46</v>
      </c>
      <c r="I46" s="7" t="n">
        <v>2020</v>
      </c>
      <c r="J46" s="7" t="n">
        <v>2025</v>
      </c>
      <c r="K46" s="4" t="s">
        <v>403</v>
      </c>
      <c r="L46" s="4" t="s">
        <v>404</v>
      </c>
      <c r="M46" s="4" t="s">
        <v>405</v>
      </c>
      <c r="N46" s="4" t="s">
        <v>406</v>
      </c>
      <c r="O46" s="4" t="s">
        <v>407</v>
      </c>
      <c r="P46" s="4" t="s">
        <v>73</v>
      </c>
    </row>
    <row r="47" customFormat="false" ht="15" hidden="false" customHeight="false" outlineLevel="0" collapsed="false">
      <c r="A47" s="4" t="s">
        <v>408</v>
      </c>
      <c r="B47" s="4" t="s">
        <v>409</v>
      </c>
      <c r="C47" s="4" t="s">
        <v>410</v>
      </c>
      <c r="D47" s="4" t="s">
        <v>66</v>
      </c>
      <c r="E47" s="9" t="n">
        <v>39330</v>
      </c>
      <c r="F47" s="4" t="s">
        <v>45</v>
      </c>
      <c r="G47" s="4" t="s">
        <v>14</v>
      </c>
      <c r="H47" s="4" t="s">
        <v>78</v>
      </c>
      <c r="I47" s="7" t="n">
        <v>2020</v>
      </c>
      <c r="J47" s="7" t="n">
        <v>2025</v>
      </c>
      <c r="K47" s="4" t="s">
        <v>411</v>
      </c>
      <c r="L47" s="4" t="s">
        <v>412</v>
      </c>
      <c r="M47" s="4" t="s">
        <v>413</v>
      </c>
      <c r="N47" s="4" t="s">
        <v>414</v>
      </c>
      <c r="O47" s="4" t="s">
        <v>415</v>
      </c>
      <c r="P47" s="4" t="s">
        <v>73</v>
      </c>
    </row>
    <row r="48" customFormat="false" ht="15" hidden="false" customHeight="false" outlineLevel="0" collapsed="false">
      <c r="A48" s="4" t="s">
        <v>416</v>
      </c>
      <c r="B48" s="4" t="s">
        <v>417</v>
      </c>
      <c r="C48" s="4" t="s">
        <v>418</v>
      </c>
      <c r="D48" s="4" t="s">
        <v>44</v>
      </c>
      <c r="E48" s="9" t="n">
        <v>38249</v>
      </c>
      <c r="F48" s="4" t="s">
        <v>142</v>
      </c>
      <c r="G48" s="4" t="s">
        <v>16</v>
      </c>
      <c r="H48" s="4" t="s">
        <v>67</v>
      </c>
      <c r="I48" s="7" t="n">
        <v>2018</v>
      </c>
      <c r="J48" s="7" t="n">
        <v>2023</v>
      </c>
      <c r="K48" s="4" t="s">
        <v>419</v>
      </c>
      <c r="L48" s="4" t="s">
        <v>420</v>
      </c>
      <c r="M48" s="4" t="s">
        <v>421</v>
      </c>
      <c r="N48" s="4" t="s">
        <v>422</v>
      </c>
      <c r="O48" s="4" t="s">
        <v>423</v>
      </c>
      <c r="P48" s="4" t="s">
        <v>52</v>
      </c>
    </row>
    <row r="49" customFormat="false" ht="15" hidden="false" customHeight="false" outlineLevel="0" collapsed="false">
      <c r="A49" s="4" t="s">
        <v>424</v>
      </c>
      <c r="B49" s="4" t="s">
        <v>425</v>
      </c>
      <c r="C49" s="4" t="s">
        <v>426</v>
      </c>
      <c r="D49" s="4" t="s">
        <v>66</v>
      </c>
      <c r="E49" s="9" t="n">
        <v>37553</v>
      </c>
      <c r="F49" s="4" t="s">
        <v>56</v>
      </c>
      <c r="G49" s="4" t="s">
        <v>14</v>
      </c>
      <c r="H49" s="4" t="s">
        <v>78</v>
      </c>
      <c r="I49" s="7" t="n">
        <v>2016</v>
      </c>
      <c r="J49" s="7" t="n">
        <v>2021</v>
      </c>
      <c r="K49" s="4" t="s">
        <v>427</v>
      </c>
      <c r="L49" s="4" t="s">
        <v>428</v>
      </c>
      <c r="M49" s="4" t="s">
        <v>429</v>
      </c>
      <c r="N49" s="4" t="s">
        <v>430</v>
      </c>
      <c r="O49" s="4" t="s">
        <v>431</v>
      </c>
      <c r="P49" s="4" t="s">
        <v>52</v>
      </c>
    </row>
    <row r="50" customFormat="false" ht="15" hidden="false" customHeight="false" outlineLevel="0" collapsed="false">
      <c r="A50" s="4" t="s">
        <v>432</v>
      </c>
      <c r="B50" s="4" t="s">
        <v>433</v>
      </c>
      <c r="C50" s="4" t="s">
        <v>434</v>
      </c>
      <c r="D50" s="4" t="s">
        <v>44</v>
      </c>
      <c r="E50" s="9" t="n">
        <v>38862</v>
      </c>
      <c r="F50" s="4" t="s">
        <v>142</v>
      </c>
      <c r="G50" s="4" t="s">
        <v>17</v>
      </c>
      <c r="H50" s="4" t="s">
        <v>46</v>
      </c>
      <c r="I50" s="7" t="n">
        <v>2018</v>
      </c>
      <c r="J50" s="7" t="n">
        <v>2024</v>
      </c>
      <c r="K50" s="4" t="s">
        <v>435</v>
      </c>
      <c r="L50" s="4" t="s">
        <v>436</v>
      </c>
      <c r="M50" s="4" t="s">
        <v>437</v>
      </c>
      <c r="N50" s="4" t="s">
        <v>438</v>
      </c>
      <c r="O50" s="4" t="s">
        <v>439</v>
      </c>
      <c r="P50" s="4" t="s">
        <v>52</v>
      </c>
    </row>
    <row r="51" customFormat="false" ht="15" hidden="false" customHeight="false" outlineLevel="0" collapsed="false">
      <c r="A51" s="4" t="s">
        <v>440</v>
      </c>
      <c r="B51" s="4" t="s">
        <v>441</v>
      </c>
      <c r="C51" s="4" t="s">
        <v>442</v>
      </c>
      <c r="D51" s="4" t="s">
        <v>44</v>
      </c>
      <c r="E51" s="9" t="n">
        <v>39242</v>
      </c>
      <c r="F51" s="4" t="s">
        <v>142</v>
      </c>
      <c r="G51" s="4" t="s">
        <v>15</v>
      </c>
      <c r="H51" s="4" t="s">
        <v>46</v>
      </c>
      <c r="I51" s="7" t="n">
        <v>2019</v>
      </c>
      <c r="J51" s="7" t="n">
        <v>2025</v>
      </c>
      <c r="K51" s="4" t="s">
        <v>443</v>
      </c>
      <c r="L51" s="4" t="s">
        <v>444</v>
      </c>
      <c r="M51" s="4" t="s">
        <v>445</v>
      </c>
      <c r="N51" s="4" t="s">
        <v>446</v>
      </c>
      <c r="O51" s="4" t="s">
        <v>447</v>
      </c>
      <c r="P51" s="4" t="s">
        <v>52</v>
      </c>
    </row>
    <row r="52" customFormat="false" ht="15" hidden="false" customHeight="false" outlineLevel="0" collapsed="false">
      <c r="A52" s="4" t="s">
        <v>448</v>
      </c>
      <c r="B52" s="4" t="s">
        <v>449</v>
      </c>
      <c r="C52" s="4" t="s">
        <v>450</v>
      </c>
      <c r="D52" s="4" t="s">
        <v>66</v>
      </c>
      <c r="E52" s="9" t="n">
        <v>37921</v>
      </c>
      <c r="F52" s="4" t="s">
        <v>56</v>
      </c>
      <c r="G52" s="4" t="s">
        <v>17</v>
      </c>
      <c r="H52" s="4" t="s">
        <v>46</v>
      </c>
      <c r="I52" s="7" t="n">
        <v>2016</v>
      </c>
      <c r="J52" s="7" t="n">
        <v>2022</v>
      </c>
      <c r="K52" s="4" t="s">
        <v>451</v>
      </c>
      <c r="L52" s="4" t="s">
        <v>452</v>
      </c>
      <c r="M52" s="4" t="s">
        <v>453</v>
      </c>
      <c r="N52" s="4" t="s">
        <v>454</v>
      </c>
      <c r="O52" s="4" t="s">
        <v>455</v>
      </c>
      <c r="P52" s="4" t="s">
        <v>52</v>
      </c>
    </row>
    <row r="53" customFormat="false" ht="15" hidden="false" customHeight="false" outlineLevel="0" collapsed="false">
      <c r="A53" s="4" t="s">
        <v>456</v>
      </c>
      <c r="B53" s="4" t="s">
        <v>457</v>
      </c>
      <c r="C53" s="4" t="s">
        <v>458</v>
      </c>
      <c r="D53" s="4" t="s">
        <v>44</v>
      </c>
      <c r="E53" s="9" t="n">
        <v>38528</v>
      </c>
      <c r="F53" s="4" t="s">
        <v>77</v>
      </c>
      <c r="G53" s="4" t="s">
        <v>14</v>
      </c>
      <c r="H53" s="4" t="s">
        <v>46</v>
      </c>
      <c r="I53" s="7" t="n">
        <v>2017</v>
      </c>
      <c r="J53" s="7" t="n">
        <v>2023</v>
      </c>
      <c r="K53" s="4" t="s">
        <v>459</v>
      </c>
      <c r="L53" s="4" t="s">
        <v>460</v>
      </c>
      <c r="M53" s="4" t="s">
        <v>461</v>
      </c>
      <c r="N53" s="4" t="s">
        <v>462</v>
      </c>
      <c r="O53" s="4" t="s">
        <v>463</v>
      </c>
      <c r="P53" s="4" t="s">
        <v>52</v>
      </c>
    </row>
    <row r="54" customFormat="false" ht="15" hidden="false" customHeight="false" outlineLevel="0" collapsed="false">
      <c r="A54" s="4" t="s">
        <v>464</v>
      </c>
      <c r="B54" s="4" t="s">
        <v>465</v>
      </c>
      <c r="C54" s="4" t="s">
        <v>466</v>
      </c>
      <c r="D54" s="4" t="s">
        <v>44</v>
      </c>
      <c r="E54" s="9" t="n">
        <v>38488</v>
      </c>
      <c r="F54" s="4" t="s">
        <v>77</v>
      </c>
      <c r="G54" s="4" t="s">
        <v>14</v>
      </c>
      <c r="H54" s="4" t="s">
        <v>46</v>
      </c>
      <c r="I54" s="7" t="n">
        <v>2018</v>
      </c>
      <c r="J54" s="7" t="n">
        <v>2023</v>
      </c>
      <c r="K54" s="4" t="s">
        <v>467</v>
      </c>
      <c r="L54" s="4" t="s">
        <v>468</v>
      </c>
      <c r="M54" s="4" t="s">
        <v>469</v>
      </c>
      <c r="N54" s="4" t="s">
        <v>470</v>
      </c>
      <c r="O54" s="4" t="s">
        <v>471</v>
      </c>
      <c r="P54" s="4" t="s">
        <v>52</v>
      </c>
    </row>
    <row r="55" customFormat="false" ht="15" hidden="false" customHeight="false" outlineLevel="0" collapsed="false">
      <c r="A55" s="4" t="s">
        <v>472</v>
      </c>
      <c r="B55" s="4" t="s">
        <v>473</v>
      </c>
      <c r="C55" s="4" t="s">
        <v>474</v>
      </c>
      <c r="D55" s="4" t="s">
        <v>66</v>
      </c>
      <c r="E55" s="9" t="n">
        <v>38171</v>
      </c>
      <c r="F55" s="4" t="s">
        <v>142</v>
      </c>
      <c r="G55" s="4" t="s">
        <v>15</v>
      </c>
      <c r="H55" s="4" t="s">
        <v>46</v>
      </c>
      <c r="I55" s="7" t="n">
        <v>2016</v>
      </c>
      <c r="J55" s="7" t="n">
        <v>2022</v>
      </c>
      <c r="K55" s="4" t="s">
        <v>475</v>
      </c>
      <c r="L55" s="4" t="s">
        <v>476</v>
      </c>
      <c r="M55" s="4" t="s">
        <v>477</v>
      </c>
      <c r="N55" s="4" t="s">
        <v>478</v>
      </c>
      <c r="O55" s="4" t="s">
        <v>479</v>
      </c>
      <c r="P55" s="4" t="s">
        <v>52</v>
      </c>
    </row>
    <row r="56" customFormat="false" ht="15" hidden="false" customHeight="false" outlineLevel="0" collapsed="false">
      <c r="A56" s="4" t="s">
        <v>480</v>
      </c>
      <c r="B56" s="4" t="s">
        <v>481</v>
      </c>
      <c r="C56" s="4" t="s">
        <v>482</v>
      </c>
      <c r="D56" s="4" t="s">
        <v>66</v>
      </c>
      <c r="E56" s="9" t="n">
        <v>39249</v>
      </c>
      <c r="F56" s="4" t="s">
        <v>142</v>
      </c>
      <c r="G56" s="4" t="s">
        <v>17</v>
      </c>
      <c r="H56" s="4" t="s">
        <v>78</v>
      </c>
      <c r="I56" s="7" t="n">
        <v>2020</v>
      </c>
      <c r="J56" s="7" t="n">
        <v>2025</v>
      </c>
      <c r="K56" s="4" t="s">
        <v>483</v>
      </c>
      <c r="L56" s="4" t="s">
        <v>484</v>
      </c>
      <c r="M56" s="4" t="s">
        <v>485</v>
      </c>
      <c r="N56" s="4" t="s">
        <v>486</v>
      </c>
      <c r="O56" s="4" t="s">
        <v>487</v>
      </c>
      <c r="P56" s="4" t="s">
        <v>52</v>
      </c>
    </row>
    <row r="57" customFormat="false" ht="15" hidden="false" customHeight="false" outlineLevel="0" collapsed="false">
      <c r="A57" s="4" t="s">
        <v>488</v>
      </c>
      <c r="B57" s="4" t="s">
        <v>489</v>
      </c>
      <c r="C57" s="4" t="s">
        <v>490</v>
      </c>
      <c r="D57" s="4" t="s">
        <v>66</v>
      </c>
      <c r="E57" s="9" t="n">
        <v>39003</v>
      </c>
      <c r="F57" s="4" t="s">
        <v>56</v>
      </c>
      <c r="G57" s="4" t="s">
        <v>14</v>
      </c>
      <c r="H57" s="4" t="s">
        <v>46</v>
      </c>
      <c r="I57" s="7" t="n">
        <v>2018</v>
      </c>
      <c r="J57" s="7" t="n">
        <v>2024</v>
      </c>
      <c r="K57" s="4" t="s">
        <v>491</v>
      </c>
      <c r="L57" s="4" t="s">
        <v>492</v>
      </c>
      <c r="M57" s="4" t="s">
        <v>493</v>
      </c>
      <c r="N57" s="4" t="s">
        <v>494</v>
      </c>
      <c r="O57" s="4" t="s">
        <v>495</v>
      </c>
      <c r="P57" s="4" t="s">
        <v>52</v>
      </c>
    </row>
    <row r="58" customFormat="false" ht="15" hidden="false" customHeight="false" outlineLevel="0" collapsed="false">
      <c r="A58" s="4" t="s">
        <v>496</v>
      </c>
      <c r="B58" s="4" t="s">
        <v>497</v>
      </c>
      <c r="C58" s="4" t="s">
        <v>498</v>
      </c>
      <c r="D58" s="4" t="s">
        <v>66</v>
      </c>
      <c r="E58" s="9" t="n">
        <v>38920</v>
      </c>
      <c r="F58" s="4" t="s">
        <v>142</v>
      </c>
      <c r="G58" s="4" t="s">
        <v>16</v>
      </c>
      <c r="H58" s="4" t="s">
        <v>46</v>
      </c>
      <c r="I58" s="7" t="n">
        <v>2018</v>
      </c>
      <c r="J58" s="7" t="n">
        <v>2024</v>
      </c>
      <c r="K58" s="4" t="s">
        <v>499</v>
      </c>
      <c r="L58" s="4" t="s">
        <v>500</v>
      </c>
      <c r="M58" s="4" t="s">
        <v>501</v>
      </c>
      <c r="N58" s="4" t="s">
        <v>502</v>
      </c>
      <c r="O58" s="4" t="s">
        <v>503</v>
      </c>
      <c r="P58" s="4" t="s">
        <v>52</v>
      </c>
    </row>
    <row r="59" customFormat="false" ht="15" hidden="false" customHeight="false" outlineLevel="0" collapsed="false">
      <c r="A59" s="4" t="s">
        <v>504</v>
      </c>
      <c r="B59" s="4" t="s">
        <v>505</v>
      </c>
      <c r="C59" s="4" t="s">
        <v>506</v>
      </c>
      <c r="D59" s="4" t="s">
        <v>66</v>
      </c>
      <c r="E59" s="9" t="n">
        <v>37640</v>
      </c>
      <c r="F59" s="4" t="s">
        <v>77</v>
      </c>
      <c r="G59" s="4" t="s">
        <v>15</v>
      </c>
      <c r="H59" s="4" t="s">
        <v>78</v>
      </c>
      <c r="I59" s="7" t="n">
        <v>2016</v>
      </c>
      <c r="J59" s="7" t="n">
        <v>2022</v>
      </c>
      <c r="K59" s="4" t="s">
        <v>507</v>
      </c>
      <c r="L59" s="4" t="s">
        <v>508</v>
      </c>
      <c r="M59" s="4" t="s">
        <v>509</v>
      </c>
      <c r="N59" s="4" t="s">
        <v>510</v>
      </c>
      <c r="O59" s="4" t="s">
        <v>511</v>
      </c>
      <c r="P59" s="4" t="s">
        <v>52</v>
      </c>
    </row>
    <row r="60" customFormat="false" ht="15" hidden="false" customHeight="false" outlineLevel="0" collapsed="false">
      <c r="A60" s="4" t="s">
        <v>512</v>
      </c>
      <c r="B60" s="4" t="s">
        <v>212</v>
      </c>
      <c r="C60" s="4" t="s">
        <v>513</v>
      </c>
      <c r="D60" s="4" t="s">
        <v>44</v>
      </c>
      <c r="E60" s="9" t="n">
        <v>38521</v>
      </c>
      <c r="F60" s="4" t="s">
        <v>56</v>
      </c>
      <c r="G60" s="4" t="s">
        <v>17</v>
      </c>
      <c r="H60" s="4" t="s">
        <v>67</v>
      </c>
      <c r="I60" s="7" t="n">
        <v>2018</v>
      </c>
      <c r="J60" s="7" t="n">
        <v>2023</v>
      </c>
      <c r="K60" s="4" t="s">
        <v>514</v>
      </c>
      <c r="L60" s="4" t="s">
        <v>515</v>
      </c>
      <c r="M60" s="4" t="s">
        <v>516</v>
      </c>
      <c r="N60" s="4" t="s">
        <v>517</v>
      </c>
      <c r="O60" s="4" t="s">
        <v>518</v>
      </c>
      <c r="P60" s="4" t="s">
        <v>52</v>
      </c>
    </row>
    <row r="61" customFormat="false" ht="15" hidden="false" customHeight="false" outlineLevel="0" collapsed="false">
      <c r="A61" s="4" t="s">
        <v>519</v>
      </c>
      <c r="B61" s="4" t="s">
        <v>520</v>
      </c>
      <c r="C61" s="4" t="s">
        <v>521</v>
      </c>
      <c r="D61" s="4" t="s">
        <v>66</v>
      </c>
      <c r="E61" s="9" t="n">
        <v>38025</v>
      </c>
      <c r="F61" s="4" t="s">
        <v>45</v>
      </c>
      <c r="G61" s="4" t="s">
        <v>17</v>
      </c>
      <c r="H61" s="4" t="s">
        <v>67</v>
      </c>
      <c r="I61" s="7" t="n">
        <v>2016</v>
      </c>
      <c r="J61" s="7" t="n">
        <v>2022</v>
      </c>
      <c r="K61" s="4" t="s">
        <v>522</v>
      </c>
      <c r="L61" s="4" t="s">
        <v>523</v>
      </c>
      <c r="M61" s="4" t="s">
        <v>524</v>
      </c>
      <c r="N61" s="4" t="s">
        <v>525</v>
      </c>
      <c r="O61" s="4" t="s">
        <v>526</v>
      </c>
      <c r="P61" s="4" t="s">
        <v>52</v>
      </c>
    </row>
    <row r="62" customFormat="false" ht="15" hidden="false" customHeight="false" outlineLevel="0" collapsed="false">
      <c r="A62" s="4" t="s">
        <v>527</v>
      </c>
      <c r="B62" s="4" t="s">
        <v>528</v>
      </c>
      <c r="C62" s="4" t="s">
        <v>529</v>
      </c>
      <c r="D62" s="4" t="s">
        <v>44</v>
      </c>
      <c r="E62" s="9" t="n">
        <v>37968</v>
      </c>
      <c r="F62" s="4" t="s">
        <v>77</v>
      </c>
      <c r="G62" s="4" t="s">
        <v>14</v>
      </c>
      <c r="H62" s="4" t="s">
        <v>46</v>
      </c>
      <c r="I62" s="7" t="n">
        <v>2016</v>
      </c>
      <c r="J62" s="7" t="n">
        <v>2022</v>
      </c>
      <c r="K62" s="4" t="s">
        <v>530</v>
      </c>
      <c r="L62" s="4" t="s">
        <v>531</v>
      </c>
      <c r="M62" s="4" t="s">
        <v>532</v>
      </c>
      <c r="N62" s="4" t="s">
        <v>533</v>
      </c>
      <c r="O62" s="4" t="s">
        <v>534</v>
      </c>
      <c r="P62" s="4" t="s">
        <v>52</v>
      </c>
    </row>
    <row r="63" customFormat="false" ht="15" hidden="false" customHeight="false" outlineLevel="0" collapsed="false">
      <c r="A63" s="4" t="s">
        <v>535</v>
      </c>
      <c r="B63" s="4" t="s">
        <v>536</v>
      </c>
      <c r="C63" s="4" t="s">
        <v>537</v>
      </c>
      <c r="D63" s="4" t="s">
        <v>44</v>
      </c>
      <c r="E63" s="9" t="n">
        <v>38794</v>
      </c>
      <c r="F63" s="4" t="s">
        <v>45</v>
      </c>
      <c r="G63" s="4" t="s">
        <v>16</v>
      </c>
      <c r="H63" s="4" t="s">
        <v>78</v>
      </c>
      <c r="I63" s="7" t="n">
        <v>2019</v>
      </c>
      <c r="J63" s="7" t="n">
        <v>2025</v>
      </c>
      <c r="K63" s="4" t="s">
        <v>538</v>
      </c>
      <c r="L63" s="4" t="s">
        <v>539</v>
      </c>
      <c r="M63" s="4" t="s">
        <v>314</v>
      </c>
      <c r="N63" s="4" t="s">
        <v>540</v>
      </c>
      <c r="O63" s="4" t="s">
        <v>541</v>
      </c>
      <c r="P63" s="4" t="s">
        <v>52</v>
      </c>
    </row>
    <row r="64" customFormat="false" ht="15" hidden="false" customHeight="false" outlineLevel="0" collapsed="false">
      <c r="A64" s="4" t="s">
        <v>542</v>
      </c>
      <c r="B64" s="4" t="s">
        <v>543</v>
      </c>
      <c r="C64" s="4" t="s">
        <v>544</v>
      </c>
      <c r="D64" s="4" t="s">
        <v>44</v>
      </c>
      <c r="E64" s="9" t="n">
        <v>38282</v>
      </c>
      <c r="F64" s="4" t="s">
        <v>45</v>
      </c>
      <c r="G64" s="4" t="s">
        <v>17</v>
      </c>
      <c r="H64" s="4" t="s">
        <v>67</v>
      </c>
      <c r="I64" s="7" t="n">
        <v>2018</v>
      </c>
      <c r="J64" s="7" t="n">
        <v>2023</v>
      </c>
      <c r="K64" s="4" t="s">
        <v>545</v>
      </c>
      <c r="L64" s="4" t="s">
        <v>546</v>
      </c>
      <c r="M64" s="4" t="s">
        <v>547</v>
      </c>
      <c r="N64" s="4" t="s">
        <v>548</v>
      </c>
      <c r="O64" s="4" t="s">
        <v>549</v>
      </c>
      <c r="P64" s="4" t="s">
        <v>52</v>
      </c>
    </row>
    <row r="65" customFormat="false" ht="15" hidden="false" customHeight="false" outlineLevel="0" collapsed="false">
      <c r="A65" s="4" t="s">
        <v>550</v>
      </c>
      <c r="B65" s="4" t="s">
        <v>551</v>
      </c>
      <c r="C65" s="4" t="s">
        <v>552</v>
      </c>
      <c r="D65" s="4" t="s">
        <v>66</v>
      </c>
      <c r="E65" s="9" t="n">
        <v>38304</v>
      </c>
      <c r="F65" s="4" t="s">
        <v>77</v>
      </c>
      <c r="G65" s="4" t="s">
        <v>14</v>
      </c>
      <c r="H65" s="4" t="s">
        <v>46</v>
      </c>
      <c r="I65" s="7" t="n">
        <v>2017</v>
      </c>
      <c r="J65" s="7" t="n">
        <v>2023</v>
      </c>
      <c r="K65" s="4" t="s">
        <v>553</v>
      </c>
      <c r="L65" s="4" t="s">
        <v>554</v>
      </c>
      <c r="M65" s="4" t="s">
        <v>555</v>
      </c>
      <c r="N65" s="4" t="s">
        <v>556</v>
      </c>
      <c r="O65" s="4" t="s">
        <v>557</v>
      </c>
      <c r="P65" s="4" t="s">
        <v>52</v>
      </c>
    </row>
    <row r="66" customFormat="false" ht="15" hidden="false" customHeight="false" outlineLevel="0" collapsed="false">
      <c r="A66" s="4" t="s">
        <v>558</v>
      </c>
      <c r="B66" s="4" t="s">
        <v>559</v>
      </c>
      <c r="C66" s="4" t="s">
        <v>102</v>
      </c>
      <c r="D66" s="4" t="s">
        <v>66</v>
      </c>
      <c r="E66" s="9" t="n">
        <v>38607</v>
      </c>
      <c r="F66" s="4" t="s">
        <v>56</v>
      </c>
      <c r="G66" s="4" t="s">
        <v>15</v>
      </c>
      <c r="H66" s="4" t="s">
        <v>67</v>
      </c>
      <c r="I66" s="7" t="n">
        <v>2019</v>
      </c>
      <c r="J66" s="7" t="n">
        <v>2024</v>
      </c>
      <c r="K66" s="4" t="s">
        <v>560</v>
      </c>
      <c r="L66" s="4" t="s">
        <v>561</v>
      </c>
      <c r="M66" s="4" t="s">
        <v>562</v>
      </c>
      <c r="N66" s="4" t="s">
        <v>563</v>
      </c>
      <c r="O66" s="4" t="s">
        <v>564</v>
      </c>
      <c r="P66" s="4" t="s">
        <v>52</v>
      </c>
    </row>
    <row r="67" customFormat="false" ht="15" hidden="false" customHeight="false" outlineLevel="0" collapsed="false">
      <c r="A67" s="4" t="s">
        <v>565</v>
      </c>
      <c r="B67" s="4" t="s">
        <v>566</v>
      </c>
      <c r="C67" s="4" t="s">
        <v>567</v>
      </c>
      <c r="D67" s="4" t="s">
        <v>44</v>
      </c>
      <c r="E67" s="9" t="n">
        <v>37294</v>
      </c>
      <c r="F67" s="4" t="s">
        <v>56</v>
      </c>
      <c r="G67" s="4" t="s">
        <v>14</v>
      </c>
      <c r="H67" s="4" t="s">
        <v>67</v>
      </c>
      <c r="I67" s="7" t="n">
        <v>2015</v>
      </c>
      <c r="J67" s="7" t="n">
        <v>2021</v>
      </c>
      <c r="K67" s="4" t="s">
        <v>568</v>
      </c>
      <c r="L67" s="4" t="s">
        <v>569</v>
      </c>
      <c r="M67" s="4" t="s">
        <v>570</v>
      </c>
      <c r="N67" s="4" t="s">
        <v>571</v>
      </c>
      <c r="O67" s="4" t="s">
        <v>572</v>
      </c>
      <c r="P67" s="4" t="s">
        <v>52</v>
      </c>
    </row>
    <row r="68" customFormat="false" ht="15" hidden="false" customHeight="false" outlineLevel="0" collapsed="false">
      <c r="A68" s="4" t="s">
        <v>573</v>
      </c>
      <c r="B68" s="4" t="s">
        <v>574</v>
      </c>
      <c r="C68" s="4" t="s">
        <v>575</v>
      </c>
      <c r="D68" s="4" t="s">
        <v>66</v>
      </c>
      <c r="E68" s="9" t="n">
        <v>38478</v>
      </c>
      <c r="F68" s="4" t="s">
        <v>45</v>
      </c>
      <c r="G68" s="4" t="s">
        <v>16</v>
      </c>
      <c r="H68" s="4" t="s">
        <v>78</v>
      </c>
      <c r="I68" s="7" t="n">
        <v>2018</v>
      </c>
      <c r="J68" s="7" t="n">
        <v>2023</v>
      </c>
      <c r="K68" s="4" t="s">
        <v>576</v>
      </c>
      <c r="L68" s="4" t="s">
        <v>577</v>
      </c>
      <c r="M68" s="4" t="s">
        <v>578</v>
      </c>
      <c r="N68" s="4" t="s">
        <v>579</v>
      </c>
      <c r="O68" s="4" t="s">
        <v>580</v>
      </c>
      <c r="P68" s="4" t="s">
        <v>52</v>
      </c>
    </row>
    <row r="69" customFormat="false" ht="15" hidden="false" customHeight="false" outlineLevel="0" collapsed="false">
      <c r="A69" s="4" t="s">
        <v>581</v>
      </c>
      <c r="B69" s="4" t="s">
        <v>582</v>
      </c>
      <c r="C69" s="4" t="s">
        <v>583</v>
      </c>
      <c r="D69" s="4" t="s">
        <v>66</v>
      </c>
      <c r="E69" s="9" t="n">
        <v>38327</v>
      </c>
      <c r="F69" s="4" t="s">
        <v>77</v>
      </c>
      <c r="G69" s="4" t="s">
        <v>14</v>
      </c>
      <c r="H69" s="4" t="s">
        <v>67</v>
      </c>
      <c r="I69" s="7" t="n">
        <v>2016</v>
      </c>
      <c r="J69" s="7" t="n">
        <v>2022</v>
      </c>
      <c r="K69" s="4" t="s">
        <v>584</v>
      </c>
      <c r="L69" s="4" t="s">
        <v>585</v>
      </c>
      <c r="M69" s="4" t="s">
        <v>586</v>
      </c>
      <c r="N69" s="4" t="s">
        <v>587</v>
      </c>
      <c r="O69" s="4" t="s">
        <v>588</v>
      </c>
      <c r="P69" s="4" t="s">
        <v>52</v>
      </c>
    </row>
    <row r="70" customFormat="false" ht="15" hidden="false" customHeight="false" outlineLevel="0" collapsed="false">
      <c r="A70" s="4" t="s">
        <v>589</v>
      </c>
      <c r="B70" s="4" t="s">
        <v>590</v>
      </c>
      <c r="C70" s="4" t="s">
        <v>591</v>
      </c>
      <c r="D70" s="4" t="s">
        <v>44</v>
      </c>
      <c r="E70" s="9" t="n">
        <v>38479</v>
      </c>
      <c r="F70" s="4" t="s">
        <v>56</v>
      </c>
      <c r="G70" s="4" t="s">
        <v>14</v>
      </c>
      <c r="H70" s="4" t="s">
        <v>67</v>
      </c>
      <c r="I70" s="7" t="n">
        <v>2019</v>
      </c>
      <c r="J70" s="7" t="n">
        <v>2024</v>
      </c>
      <c r="K70" s="4" t="s">
        <v>592</v>
      </c>
      <c r="L70" s="4" t="s">
        <v>593</v>
      </c>
      <c r="M70" s="4" t="s">
        <v>594</v>
      </c>
      <c r="N70" s="4" t="s">
        <v>595</v>
      </c>
      <c r="O70" s="4" t="s">
        <v>596</v>
      </c>
      <c r="P70" s="4" t="s">
        <v>52</v>
      </c>
    </row>
    <row r="71" customFormat="false" ht="15" hidden="false" customHeight="false" outlineLevel="0" collapsed="false">
      <c r="A71" s="4" t="s">
        <v>597</v>
      </c>
      <c r="B71" s="4" t="s">
        <v>598</v>
      </c>
      <c r="C71" s="4" t="s">
        <v>599</v>
      </c>
      <c r="D71" s="4" t="s">
        <v>66</v>
      </c>
      <c r="E71" s="9" t="n">
        <v>39031</v>
      </c>
      <c r="F71" s="4" t="s">
        <v>142</v>
      </c>
      <c r="G71" s="4" t="s">
        <v>14</v>
      </c>
      <c r="H71" s="4" t="s">
        <v>46</v>
      </c>
      <c r="I71" s="7" t="n">
        <v>2018</v>
      </c>
      <c r="J71" s="7" t="n">
        <v>2024</v>
      </c>
      <c r="K71" s="4" t="s">
        <v>600</v>
      </c>
      <c r="L71" s="4" t="s">
        <v>601</v>
      </c>
      <c r="M71" s="4" t="s">
        <v>602</v>
      </c>
      <c r="N71" s="4" t="s">
        <v>603</v>
      </c>
      <c r="O71" s="4" t="s">
        <v>604</v>
      </c>
      <c r="P71" s="4" t="s">
        <v>52</v>
      </c>
    </row>
    <row r="72" customFormat="false" ht="15" hidden="false" customHeight="false" outlineLevel="0" collapsed="false">
      <c r="A72" s="4" t="s">
        <v>605</v>
      </c>
      <c r="B72" s="4" t="s">
        <v>606</v>
      </c>
      <c r="C72" s="4" t="s">
        <v>607</v>
      </c>
      <c r="D72" s="4" t="s">
        <v>44</v>
      </c>
      <c r="E72" s="9" t="n">
        <v>39363</v>
      </c>
      <c r="F72" s="4" t="s">
        <v>142</v>
      </c>
      <c r="G72" s="4" t="s">
        <v>15</v>
      </c>
      <c r="H72" s="4" t="s">
        <v>46</v>
      </c>
      <c r="I72" s="7" t="n">
        <v>2020</v>
      </c>
      <c r="J72" s="7" t="n">
        <v>2025</v>
      </c>
      <c r="K72" s="4" t="s">
        <v>608</v>
      </c>
      <c r="L72" s="4" t="s">
        <v>609</v>
      </c>
      <c r="M72" s="4" t="s">
        <v>610</v>
      </c>
      <c r="N72" s="4" t="s">
        <v>611</v>
      </c>
      <c r="O72" s="4" t="s">
        <v>612</v>
      </c>
      <c r="P72" s="4" t="s">
        <v>73</v>
      </c>
    </row>
    <row r="73" customFormat="false" ht="15" hidden="false" customHeight="false" outlineLevel="0" collapsed="false">
      <c r="A73" s="4" t="s">
        <v>613</v>
      </c>
      <c r="B73" s="4" t="s">
        <v>614</v>
      </c>
      <c r="C73" s="4" t="s">
        <v>615</v>
      </c>
      <c r="D73" s="4" t="s">
        <v>44</v>
      </c>
      <c r="E73" s="9" t="n">
        <v>37404</v>
      </c>
      <c r="F73" s="4" t="s">
        <v>142</v>
      </c>
      <c r="G73" s="4" t="s">
        <v>15</v>
      </c>
      <c r="H73" s="4" t="s">
        <v>46</v>
      </c>
      <c r="I73" s="7" t="n">
        <v>2015</v>
      </c>
      <c r="J73" s="7" t="n">
        <v>2021</v>
      </c>
      <c r="K73" s="4" t="s">
        <v>616</v>
      </c>
      <c r="L73" s="4" t="s">
        <v>617</v>
      </c>
      <c r="M73" s="4" t="s">
        <v>618</v>
      </c>
      <c r="N73" s="4" t="s">
        <v>619</v>
      </c>
      <c r="O73" s="4" t="s">
        <v>620</v>
      </c>
      <c r="P73" s="4" t="s">
        <v>52</v>
      </c>
    </row>
    <row r="74" customFormat="false" ht="15" hidden="false" customHeight="false" outlineLevel="0" collapsed="false">
      <c r="A74" s="4" t="s">
        <v>621</v>
      </c>
      <c r="B74" s="4" t="s">
        <v>622</v>
      </c>
      <c r="C74" s="4" t="s">
        <v>623</v>
      </c>
      <c r="D74" s="4" t="s">
        <v>66</v>
      </c>
      <c r="E74" s="9" t="n">
        <v>38256</v>
      </c>
      <c r="F74" s="4" t="s">
        <v>142</v>
      </c>
      <c r="G74" s="4" t="s">
        <v>15</v>
      </c>
      <c r="H74" s="4" t="s">
        <v>57</v>
      </c>
      <c r="I74" s="7" t="n">
        <v>2018</v>
      </c>
      <c r="J74" s="7" t="n">
        <v>2023</v>
      </c>
      <c r="K74" s="4" t="s">
        <v>624</v>
      </c>
      <c r="L74" s="4" t="s">
        <v>625</v>
      </c>
      <c r="M74" s="4" t="s">
        <v>626</v>
      </c>
      <c r="N74" s="4" t="s">
        <v>627</v>
      </c>
      <c r="O74" s="4" t="s">
        <v>628</v>
      </c>
      <c r="P74" s="4" t="s">
        <v>52</v>
      </c>
    </row>
    <row r="75" customFormat="false" ht="15" hidden="false" customHeight="false" outlineLevel="0" collapsed="false">
      <c r="A75" s="4" t="s">
        <v>629</v>
      </c>
      <c r="B75" s="4" t="s">
        <v>630</v>
      </c>
      <c r="C75" s="4" t="s">
        <v>631</v>
      </c>
      <c r="D75" s="4" t="s">
        <v>44</v>
      </c>
      <c r="E75" s="9" t="n">
        <v>37932</v>
      </c>
      <c r="F75" s="4" t="s">
        <v>45</v>
      </c>
      <c r="G75" s="4" t="s">
        <v>15</v>
      </c>
      <c r="H75" s="4" t="s">
        <v>67</v>
      </c>
      <c r="I75" s="7" t="n">
        <v>2016</v>
      </c>
      <c r="J75" s="7" t="n">
        <v>2022</v>
      </c>
      <c r="K75" s="4" t="s">
        <v>632</v>
      </c>
      <c r="L75" s="4" t="s">
        <v>633</v>
      </c>
      <c r="M75" s="4" t="s">
        <v>634</v>
      </c>
      <c r="N75" s="4" t="s">
        <v>635</v>
      </c>
      <c r="O75" s="4" t="s">
        <v>636</v>
      </c>
      <c r="P75" s="4" t="s">
        <v>52</v>
      </c>
    </row>
    <row r="76" customFormat="false" ht="15" hidden="false" customHeight="false" outlineLevel="0" collapsed="false">
      <c r="A76" s="4" t="s">
        <v>637</v>
      </c>
      <c r="B76" s="4" t="s">
        <v>638</v>
      </c>
      <c r="C76" s="4" t="s">
        <v>639</v>
      </c>
      <c r="D76" s="4" t="s">
        <v>66</v>
      </c>
      <c r="E76" s="9" t="n">
        <v>38922</v>
      </c>
      <c r="F76" s="4" t="s">
        <v>77</v>
      </c>
      <c r="G76" s="4" t="s">
        <v>16</v>
      </c>
      <c r="H76" s="4" t="s">
        <v>78</v>
      </c>
      <c r="I76" s="7" t="n">
        <v>2019</v>
      </c>
      <c r="J76" s="7" t="n">
        <v>2024</v>
      </c>
      <c r="K76" s="4" t="s">
        <v>640</v>
      </c>
      <c r="L76" s="4" t="s">
        <v>641</v>
      </c>
      <c r="M76" s="4" t="s">
        <v>642</v>
      </c>
      <c r="N76" s="4" t="s">
        <v>643</v>
      </c>
      <c r="O76" s="4" t="s">
        <v>644</v>
      </c>
      <c r="P76" s="4" t="s">
        <v>52</v>
      </c>
    </row>
    <row r="77" customFormat="false" ht="15" hidden="false" customHeight="false" outlineLevel="0" collapsed="false">
      <c r="A77" s="4" t="s">
        <v>645</v>
      </c>
      <c r="B77" s="4" t="s">
        <v>646</v>
      </c>
      <c r="C77" s="4" t="s">
        <v>647</v>
      </c>
      <c r="D77" s="4" t="s">
        <v>66</v>
      </c>
      <c r="E77" s="9" t="n">
        <v>37786</v>
      </c>
      <c r="F77" s="4" t="s">
        <v>77</v>
      </c>
      <c r="G77" s="4" t="s">
        <v>15</v>
      </c>
      <c r="H77" s="4" t="s">
        <v>67</v>
      </c>
      <c r="I77" s="7" t="n">
        <v>2016</v>
      </c>
      <c r="J77" s="7" t="n">
        <v>2022</v>
      </c>
      <c r="K77" s="4" t="s">
        <v>648</v>
      </c>
      <c r="L77" s="4" t="s">
        <v>649</v>
      </c>
      <c r="M77" s="4" t="s">
        <v>555</v>
      </c>
      <c r="N77" s="4" t="s">
        <v>650</v>
      </c>
      <c r="O77" s="4" t="s">
        <v>651</v>
      </c>
      <c r="P77" s="4" t="s">
        <v>52</v>
      </c>
    </row>
    <row r="78" customFormat="false" ht="15" hidden="false" customHeight="false" outlineLevel="0" collapsed="false">
      <c r="A78" s="4" t="s">
        <v>652</v>
      </c>
      <c r="B78" s="4" t="s">
        <v>653</v>
      </c>
      <c r="C78" s="4" t="s">
        <v>654</v>
      </c>
      <c r="D78" s="4" t="s">
        <v>44</v>
      </c>
      <c r="E78" s="9" t="n">
        <v>38030</v>
      </c>
      <c r="F78" s="4" t="s">
        <v>45</v>
      </c>
      <c r="G78" s="4" t="s">
        <v>14</v>
      </c>
      <c r="H78" s="4" t="s">
        <v>78</v>
      </c>
      <c r="I78" s="7" t="n">
        <v>2017</v>
      </c>
      <c r="J78" s="7" t="n">
        <v>2023</v>
      </c>
      <c r="K78" s="4" t="s">
        <v>655</v>
      </c>
      <c r="L78" s="4" t="s">
        <v>656</v>
      </c>
      <c r="M78" s="4" t="s">
        <v>657</v>
      </c>
      <c r="N78" s="4" t="s">
        <v>658</v>
      </c>
      <c r="O78" s="4" t="s">
        <v>659</v>
      </c>
      <c r="P78" s="4" t="s">
        <v>52</v>
      </c>
    </row>
    <row r="79" customFormat="false" ht="15" hidden="false" customHeight="false" outlineLevel="0" collapsed="false">
      <c r="A79" s="4" t="s">
        <v>660</v>
      </c>
      <c r="B79" s="4" t="s">
        <v>661</v>
      </c>
      <c r="C79" s="4" t="s">
        <v>662</v>
      </c>
      <c r="D79" s="4" t="s">
        <v>66</v>
      </c>
      <c r="E79" s="9" t="n">
        <v>39317</v>
      </c>
      <c r="F79" s="4" t="s">
        <v>45</v>
      </c>
      <c r="G79" s="4" t="s">
        <v>16</v>
      </c>
      <c r="H79" s="4" t="s">
        <v>78</v>
      </c>
      <c r="I79" s="7" t="n">
        <v>2020</v>
      </c>
      <c r="J79" s="7" t="n">
        <v>2025</v>
      </c>
      <c r="K79" s="4" t="s">
        <v>663</v>
      </c>
      <c r="L79" s="4" t="s">
        <v>664</v>
      </c>
      <c r="M79" s="4" t="s">
        <v>665</v>
      </c>
      <c r="N79" s="4" t="s">
        <v>666</v>
      </c>
      <c r="O79" s="4" t="s">
        <v>667</v>
      </c>
      <c r="P79" s="4" t="s">
        <v>73</v>
      </c>
    </row>
    <row r="80" customFormat="false" ht="15" hidden="false" customHeight="false" outlineLevel="0" collapsed="false">
      <c r="A80" s="4" t="s">
        <v>668</v>
      </c>
      <c r="B80" s="4" t="s">
        <v>669</v>
      </c>
      <c r="C80" s="4" t="s">
        <v>670</v>
      </c>
      <c r="D80" s="4" t="s">
        <v>44</v>
      </c>
      <c r="E80" s="9" t="n">
        <v>38557</v>
      </c>
      <c r="F80" s="4" t="s">
        <v>45</v>
      </c>
      <c r="G80" s="4" t="s">
        <v>17</v>
      </c>
      <c r="H80" s="4" t="s">
        <v>67</v>
      </c>
      <c r="I80" s="7" t="n">
        <v>2018</v>
      </c>
      <c r="J80" s="7" t="n">
        <v>2023</v>
      </c>
      <c r="K80" s="4" t="s">
        <v>671</v>
      </c>
      <c r="L80" s="4" t="s">
        <v>672</v>
      </c>
      <c r="M80" s="4" t="s">
        <v>673</v>
      </c>
      <c r="N80" s="4" t="s">
        <v>674</v>
      </c>
      <c r="O80" s="4" t="s">
        <v>675</v>
      </c>
      <c r="P80" s="4" t="s">
        <v>52</v>
      </c>
    </row>
    <row r="81" customFormat="false" ht="15" hidden="false" customHeight="false" outlineLevel="0" collapsed="false">
      <c r="A81" s="4" t="s">
        <v>676</v>
      </c>
      <c r="B81" s="4" t="s">
        <v>677</v>
      </c>
      <c r="C81" s="4" t="s">
        <v>678</v>
      </c>
      <c r="D81" s="4" t="s">
        <v>66</v>
      </c>
      <c r="E81" s="9" t="n">
        <v>37588</v>
      </c>
      <c r="F81" s="4" t="s">
        <v>45</v>
      </c>
      <c r="G81" s="4" t="s">
        <v>16</v>
      </c>
      <c r="H81" s="4" t="s">
        <v>46</v>
      </c>
      <c r="I81" s="7" t="n">
        <v>2015</v>
      </c>
      <c r="J81" s="7" t="n">
        <v>2021</v>
      </c>
      <c r="K81" s="4" t="s">
        <v>679</v>
      </c>
      <c r="L81" s="4" t="s">
        <v>680</v>
      </c>
      <c r="M81" s="4" t="s">
        <v>681</v>
      </c>
      <c r="N81" s="4" t="s">
        <v>682</v>
      </c>
      <c r="O81" s="4" t="s">
        <v>683</v>
      </c>
      <c r="P81" s="4" t="s">
        <v>52</v>
      </c>
    </row>
    <row r="82" customFormat="false" ht="15" hidden="false" customHeight="false" outlineLevel="0" collapsed="false">
      <c r="A82" s="4" t="s">
        <v>684</v>
      </c>
      <c r="B82" s="4" t="s">
        <v>685</v>
      </c>
      <c r="C82" s="4" t="s">
        <v>686</v>
      </c>
      <c r="D82" s="4" t="s">
        <v>66</v>
      </c>
      <c r="E82" s="9" t="n">
        <v>37451</v>
      </c>
      <c r="F82" s="4" t="s">
        <v>45</v>
      </c>
      <c r="G82" s="4" t="s">
        <v>16</v>
      </c>
      <c r="H82" s="4" t="s">
        <v>78</v>
      </c>
      <c r="I82" s="7" t="n">
        <v>2016</v>
      </c>
      <c r="J82" s="7" t="n">
        <v>2021</v>
      </c>
      <c r="K82" s="4" t="s">
        <v>687</v>
      </c>
      <c r="L82" s="4" t="s">
        <v>688</v>
      </c>
      <c r="M82" s="4" t="s">
        <v>689</v>
      </c>
      <c r="N82" s="4" t="s">
        <v>690</v>
      </c>
      <c r="O82" s="4" t="s">
        <v>691</v>
      </c>
      <c r="P82" s="4" t="s">
        <v>52</v>
      </c>
    </row>
    <row r="83" customFormat="false" ht="15" hidden="false" customHeight="false" outlineLevel="0" collapsed="false">
      <c r="A83" s="4" t="s">
        <v>692</v>
      </c>
      <c r="B83" s="4" t="s">
        <v>693</v>
      </c>
      <c r="C83" s="4" t="s">
        <v>694</v>
      </c>
      <c r="D83" s="4" t="s">
        <v>66</v>
      </c>
      <c r="E83" s="9" t="n">
        <v>38003</v>
      </c>
      <c r="F83" s="4" t="s">
        <v>142</v>
      </c>
      <c r="G83" s="4" t="s">
        <v>18</v>
      </c>
      <c r="H83" s="4" t="s">
        <v>57</v>
      </c>
      <c r="I83" s="7" t="n">
        <v>2017</v>
      </c>
      <c r="J83" s="7" t="n">
        <v>2022</v>
      </c>
      <c r="K83" s="4" t="s">
        <v>695</v>
      </c>
      <c r="L83" s="4" t="s">
        <v>696</v>
      </c>
      <c r="M83" s="4" t="s">
        <v>697</v>
      </c>
      <c r="N83" s="4" t="s">
        <v>698</v>
      </c>
      <c r="O83" s="4" t="s">
        <v>699</v>
      </c>
      <c r="P83" s="4" t="s">
        <v>52</v>
      </c>
    </row>
    <row r="84" customFormat="false" ht="15" hidden="false" customHeight="false" outlineLevel="0" collapsed="false">
      <c r="A84" s="4" t="s">
        <v>700</v>
      </c>
      <c r="B84" s="4" t="s">
        <v>701</v>
      </c>
      <c r="C84" s="4" t="s">
        <v>702</v>
      </c>
      <c r="D84" s="4" t="s">
        <v>66</v>
      </c>
      <c r="E84" s="9" t="n">
        <v>39374</v>
      </c>
      <c r="F84" s="4" t="s">
        <v>56</v>
      </c>
      <c r="G84" s="4" t="s">
        <v>17</v>
      </c>
      <c r="H84" s="4" t="s">
        <v>46</v>
      </c>
      <c r="I84" s="7" t="n">
        <v>2019</v>
      </c>
      <c r="J84" s="7" t="n">
        <v>2025</v>
      </c>
      <c r="K84" s="4" t="s">
        <v>703</v>
      </c>
      <c r="L84" s="4" t="s">
        <v>704</v>
      </c>
      <c r="M84" s="4" t="s">
        <v>705</v>
      </c>
      <c r="N84" s="4" t="s">
        <v>706</v>
      </c>
      <c r="O84" s="4" t="s">
        <v>707</v>
      </c>
      <c r="P84" s="4" t="s">
        <v>52</v>
      </c>
    </row>
    <row r="85" customFormat="false" ht="15" hidden="false" customHeight="false" outlineLevel="0" collapsed="false">
      <c r="A85" s="4" t="s">
        <v>708</v>
      </c>
      <c r="B85" s="4" t="s">
        <v>709</v>
      </c>
      <c r="C85" s="4" t="s">
        <v>710</v>
      </c>
      <c r="D85" s="4" t="s">
        <v>66</v>
      </c>
      <c r="E85" s="9" t="n">
        <v>39058</v>
      </c>
      <c r="F85" s="4" t="s">
        <v>45</v>
      </c>
      <c r="G85" s="4" t="s">
        <v>14</v>
      </c>
      <c r="H85" s="4" t="s">
        <v>57</v>
      </c>
      <c r="I85" s="7" t="n">
        <v>2019</v>
      </c>
      <c r="J85" s="7" t="n">
        <v>2025</v>
      </c>
      <c r="K85" s="4" t="s">
        <v>711</v>
      </c>
      <c r="L85" s="4" t="s">
        <v>712</v>
      </c>
      <c r="M85" s="4" t="s">
        <v>713</v>
      </c>
      <c r="N85" s="4" t="s">
        <v>714</v>
      </c>
      <c r="O85" s="4" t="s">
        <v>715</v>
      </c>
      <c r="P85" s="4" t="s">
        <v>52</v>
      </c>
    </row>
    <row r="86" customFormat="false" ht="15" hidden="false" customHeight="false" outlineLevel="0" collapsed="false">
      <c r="A86" s="4" t="s">
        <v>716</v>
      </c>
      <c r="B86" s="4" t="s">
        <v>717</v>
      </c>
      <c r="C86" s="4" t="s">
        <v>718</v>
      </c>
      <c r="D86" s="4" t="s">
        <v>44</v>
      </c>
      <c r="E86" s="9" t="n">
        <v>39125</v>
      </c>
      <c r="F86" s="4" t="s">
        <v>56</v>
      </c>
      <c r="G86" s="4" t="s">
        <v>14</v>
      </c>
      <c r="H86" s="4" t="s">
        <v>78</v>
      </c>
      <c r="I86" s="7" t="n">
        <v>2020</v>
      </c>
      <c r="J86" s="7" t="n">
        <v>2025</v>
      </c>
      <c r="K86" s="4" t="s">
        <v>719</v>
      </c>
      <c r="L86" s="4" t="s">
        <v>720</v>
      </c>
      <c r="M86" s="4" t="s">
        <v>721</v>
      </c>
      <c r="N86" s="4" t="s">
        <v>722</v>
      </c>
      <c r="O86" s="4" t="s">
        <v>723</v>
      </c>
      <c r="P86" s="4" t="s">
        <v>73</v>
      </c>
    </row>
    <row r="87" customFormat="false" ht="15" hidden="false" customHeight="false" outlineLevel="0" collapsed="false">
      <c r="A87" s="4" t="s">
        <v>724</v>
      </c>
      <c r="B87" s="4" t="s">
        <v>725</v>
      </c>
      <c r="C87" s="4" t="s">
        <v>726</v>
      </c>
      <c r="D87" s="4" t="s">
        <v>66</v>
      </c>
      <c r="E87" s="9" t="n">
        <v>37856</v>
      </c>
      <c r="F87" s="4" t="s">
        <v>45</v>
      </c>
      <c r="G87" s="4" t="s">
        <v>14</v>
      </c>
      <c r="H87" s="4" t="s">
        <v>57</v>
      </c>
      <c r="I87" s="7" t="n">
        <v>2016</v>
      </c>
      <c r="J87" s="7" t="n">
        <v>2022</v>
      </c>
      <c r="K87" s="4" t="s">
        <v>727</v>
      </c>
      <c r="L87" s="4" t="s">
        <v>728</v>
      </c>
      <c r="M87" s="4" t="s">
        <v>729</v>
      </c>
      <c r="N87" s="4" t="s">
        <v>730</v>
      </c>
      <c r="O87" s="4" t="s">
        <v>731</v>
      </c>
      <c r="P87" s="4" t="s">
        <v>52</v>
      </c>
    </row>
    <row r="88" customFormat="false" ht="15" hidden="false" customHeight="false" outlineLevel="0" collapsed="false">
      <c r="A88" s="4" t="s">
        <v>732</v>
      </c>
      <c r="B88" s="4" t="s">
        <v>733</v>
      </c>
      <c r="C88" s="4" t="s">
        <v>734</v>
      </c>
      <c r="D88" s="4" t="s">
        <v>44</v>
      </c>
      <c r="E88" s="9" t="n">
        <v>38129</v>
      </c>
      <c r="F88" s="4" t="s">
        <v>77</v>
      </c>
      <c r="G88" s="4" t="s">
        <v>18</v>
      </c>
      <c r="H88" s="4" t="s">
        <v>67</v>
      </c>
      <c r="I88" s="7" t="n">
        <v>2017</v>
      </c>
      <c r="J88" s="7" t="n">
        <v>2023</v>
      </c>
      <c r="K88" s="4" t="s">
        <v>735</v>
      </c>
      <c r="L88" s="4" t="s">
        <v>736</v>
      </c>
      <c r="M88" s="4" t="s">
        <v>737</v>
      </c>
      <c r="N88" s="4" t="s">
        <v>738</v>
      </c>
      <c r="O88" s="4" t="s">
        <v>739</v>
      </c>
      <c r="P88" s="4" t="s">
        <v>52</v>
      </c>
    </row>
    <row r="89" customFormat="false" ht="15" hidden="false" customHeight="false" outlineLevel="0" collapsed="false">
      <c r="A89" s="4" t="s">
        <v>740</v>
      </c>
      <c r="B89" s="4" t="s">
        <v>741</v>
      </c>
      <c r="C89" s="4" t="s">
        <v>742</v>
      </c>
      <c r="D89" s="4" t="s">
        <v>66</v>
      </c>
      <c r="E89" s="9" t="n">
        <v>37662</v>
      </c>
      <c r="F89" s="4" t="s">
        <v>142</v>
      </c>
      <c r="G89" s="4" t="s">
        <v>14</v>
      </c>
      <c r="H89" s="4" t="s">
        <v>46</v>
      </c>
      <c r="I89" s="7" t="n">
        <v>2017</v>
      </c>
      <c r="J89" s="7" t="n">
        <v>2022</v>
      </c>
      <c r="K89" s="4" t="s">
        <v>743</v>
      </c>
      <c r="L89" s="4" t="s">
        <v>744</v>
      </c>
      <c r="M89" s="4" t="s">
        <v>745</v>
      </c>
      <c r="N89" s="4" t="s">
        <v>746</v>
      </c>
      <c r="O89" s="4" t="s">
        <v>747</v>
      </c>
      <c r="P89" s="4" t="s">
        <v>52</v>
      </c>
    </row>
    <row r="90" customFormat="false" ht="15" hidden="false" customHeight="false" outlineLevel="0" collapsed="false">
      <c r="A90" s="4" t="s">
        <v>748</v>
      </c>
      <c r="B90" s="4" t="s">
        <v>749</v>
      </c>
      <c r="C90" s="4" t="s">
        <v>750</v>
      </c>
      <c r="D90" s="4" t="s">
        <v>66</v>
      </c>
      <c r="E90" s="9" t="n">
        <v>38247</v>
      </c>
      <c r="F90" s="4" t="s">
        <v>45</v>
      </c>
      <c r="G90" s="4" t="s">
        <v>15</v>
      </c>
      <c r="H90" s="4" t="s">
        <v>57</v>
      </c>
      <c r="I90" s="7" t="n">
        <v>2017</v>
      </c>
      <c r="J90" s="7" t="n">
        <v>2022</v>
      </c>
      <c r="K90" s="4" t="s">
        <v>751</v>
      </c>
      <c r="L90" s="4" t="s">
        <v>752</v>
      </c>
      <c r="M90" s="4" t="s">
        <v>753</v>
      </c>
      <c r="N90" s="4" t="s">
        <v>754</v>
      </c>
      <c r="O90" s="4" t="s">
        <v>755</v>
      </c>
      <c r="P90" s="4" t="s">
        <v>52</v>
      </c>
    </row>
    <row r="91" customFormat="false" ht="15" hidden="false" customHeight="false" outlineLevel="0" collapsed="false">
      <c r="A91" s="4" t="s">
        <v>756</v>
      </c>
      <c r="B91" s="4" t="s">
        <v>757</v>
      </c>
      <c r="C91" s="4" t="s">
        <v>758</v>
      </c>
      <c r="D91" s="4" t="s">
        <v>66</v>
      </c>
      <c r="E91" s="9" t="n">
        <v>39271</v>
      </c>
      <c r="F91" s="4" t="s">
        <v>56</v>
      </c>
      <c r="G91" s="4" t="s">
        <v>17</v>
      </c>
      <c r="H91" s="4" t="s">
        <v>46</v>
      </c>
      <c r="I91" s="7" t="n">
        <v>2019</v>
      </c>
      <c r="J91" s="7" t="n">
        <v>2025</v>
      </c>
      <c r="K91" s="4" t="s">
        <v>759</v>
      </c>
      <c r="L91" s="4" t="s">
        <v>760</v>
      </c>
      <c r="M91" s="4" t="s">
        <v>761</v>
      </c>
      <c r="N91" s="4" t="s">
        <v>762</v>
      </c>
      <c r="O91" s="4" t="s">
        <v>763</v>
      </c>
      <c r="P91" s="4" t="s">
        <v>52</v>
      </c>
    </row>
    <row r="92" customFormat="false" ht="15" hidden="false" customHeight="false" outlineLevel="0" collapsed="false">
      <c r="A92" s="4" t="s">
        <v>764</v>
      </c>
      <c r="B92" s="4" t="s">
        <v>765</v>
      </c>
      <c r="C92" s="4" t="s">
        <v>766</v>
      </c>
      <c r="D92" s="4" t="s">
        <v>66</v>
      </c>
      <c r="E92" s="9" t="n">
        <v>38265</v>
      </c>
      <c r="F92" s="4" t="s">
        <v>56</v>
      </c>
      <c r="G92" s="4" t="s">
        <v>16</v>
      </c>
      <c r="H92" s="4" t="s">
        <v>57</v>
      </c>
      <c r="I92" s="7" t="n">
        <v>2017</v>
      </c>
      <c r="J92" s="7" t="n">
        <v>2022</v>
      </c>
      <c r="K92" s="4" t="s">
        <v>767</v>
      </c>
      <c r="L92" s="4" t="s">
        <v>768</v>
      </c>
      <c r="M92" s="4" t="s">
        <v>769</v>
      </c>
      <c r="N92" s="4" t="s">
        <v>770</v>
      </c>
      <c r="O92" s="4" t="s">
        <v>771</v>
      </c>
      <c r="P92" s="4" t="s">
        <v>52</v>
      </c>
    </row>
    <row r="93" customFormat="false" ht="15" hidden="false" customHeight="false" outlineLevel="0" collapsed="false">
      <c r="A93" s="4" t="s">
        <v>772</v>
      </c>
      <c r="B93" s="4" t="s">
        <v>773</v>
      </c>
      <c r="C93" s="4" t="s">
        <v>774</v>
      </c>
      <c r="D93" s="4" t="s">
        <v>44</v>
      </c>
      <c r="E93" s="9" t="n">
        <v>37761</v>
      </c>
      <c r="F93" s="4" t="s">
        <v>45</v>
      </c>
      <c r="G93" s="4" t="s">
        <v>14</v>
      </c>
      <c r="H93" s="4" t="s">
        <v>67</v>
      </c>
      <c r="I93" s="7" t="n">
        <v>2016</v>
      </c>
      <c r="J93" s="7" t="n">
        <v>2022</v>
      </c>
      <c r="K93" s="4" t="s">
        <v>775</v>
      </c>
      <c r="L93" s="4" t="s">
        <v>776</v>
      </c>
      <c r="M93" s="4" t="s">
        <v>777</v>
      </c>
      <c r="N93" s="4" t="s">
        <v>778</v>
      </c>
      <c r="O93" s="4" t="s">
        <v>779</v>
      </c>
      <c r="P93" s="4" t="s">
        <v>52</v>
      </c>
    </row>
    <row r="94" customFormat="false" ht="15" hidden="false" customHeight="false" outlineLevel="0" collapsed="false">
      <c r="A94" s="4" t="s">
        <v>780</v>
      </c>
      <c r="B94" s="4" t="s">
        <v>781</v>
      </c>
      <c r="C94" s="4" t="s">
        <v>782</v>
      </c>
      <c r="D94" s="4" t="s">
        <v>44</v>
      </c>
      <c r="E94" s="9" t="n">
        <v>39259</v>
      </c>
      <c r="F94" s="4" t="s">
        <v>45</v>
      </c>
      <c r="G94" s="4" t="s">
        <v>15</v>
      </c>
      <c r="H94" s="4" t="s">
        <v>67</v>
      </c>
      <c r="I94" s="7" t="n">
        <v>2020</v>
      </c>
      <c r="J94" s="7" t="n">
        <v>2025</v>
      </c>
      <c r="K94" s="4" t="s">
        <v>783</v>
      </c>
      <c r="L94" s="4" t="s">
        <v>784</v>
      </c>
      <c r="M94" s="4" t="s">
        <v>785</v>
      </c>
      <c r="N94" s="4" t="s">
        <v>786</v>
      </c>
      <c r="O94" s="4" t="s">
        <v>787</v>
      </c>
      <c r="P94" s="4" t="s">
        <v>73</v>
      </c>
    </row>
    <row r="95" customFormat="false" ht="15" hidden="false" customHeight="false" outlineLevel="0" collapsed="false">
      <c r="A95" s="4" t="s">
        <v>788</v>
      </c>
      <c r="B95" s="4" t="s">
        <v>789</v>
      </c>
      <c r="C95" s="4" t="s">
        <v>516</v>
      </c>
      <c r="D95" s="4" t="s">
        <v>44</v>
      </c>
      <c r="E95" s="9" t="n">
        <v>39034</v>
      </c>
      <c r="F95" s="4" t="s">
        <v>45</v>
      </c>
      <c r="G95" s="4" t="s">
        <v>14</v>
      </c>
      <c r="H95" s="4" t="s">
        <v>67</v>
      </c>
      <c r="I95" s="7" t="n">
        <v>2018</v>
      </c>
      <c r="J95" s="7" t="n">
        <v>2024</v>
      </c>
      <c r="K95" s="4" t="s">
        <v>790</v>
      </c>
      <c r="L95" s="4" t="s">
        <v>791</v>
      </c>
      <c r="M95" s="4" t="s">
        <v>792</v>
      </c>
      <c r="N95" s="4" t="s">
        <v>793</v>
      </c>
      <c r="O95" s="4" t="s">
        <v>794</v>
      </c>
      <c r="P95" s="4" t="s">
        <v>52</v>
      </c>
    </row>
    <row r="96" customFormat="false" ht="15" hidden="false" customHeight="false" outlineLevel="0" collapsed="false">
      <c r="A96" s="4" t="s">
        <v>795</v>
      </c>
      <c r="B96" s="4" t="s">
        <v>796</v>
      </c>
      <c r="C96" s="4" t="s">
        <v>797</v>
      </c>
      <c r="D96" s="4" t="s">
        <v>44</v>
      </c>
      <c r="E96" s="9" t="n">
        <v>38190</v>
      </c>
      <c r="F96" s="4" t="s">
        <v>77</v>
      </c>
      <c r="G96" s="4" t="s">
        <v>16</v>
      </c>
      <c r="H96" s="4" t="s">
        <v>46</v>
      </c>
      <c r="I96" s="7" t="n">
        <v>2017</v>
      </c>
      <c r="J96" s="7" t="n">
        <v>2023</v>
      </c>
      <c r="K96" s="4" t="s">
        <v>798</v>
      </c>
      <c r="L96" s="4" t="s">
        <v>799</v>
      </c>
      <c r="M96" s="4" t="s">
        <v>800</v>
      </c>
      <c r="N96" s="4" t="s">
        <v>801</v>
      </c>
      <c r="O96" s="4" t="s">
        <v>802</v>
      </c>
      <c r="P96" s="4" t="s">
        <v>52</v>
      </c>
    </row>
    <row r="97" customFormat="false" ht="15" hidden="false" customHeight="false" outlineLevel="0" collapsed="false">
      <c r="A97" s="4" t="s">
        <v>803</v>
      </c>
      <c r="B97" s="4" t="s">
        <v>804</v>
      </c>
      <c r="C97" s="4" t="s">
        <v>805</v>
      </c>
      <c r="D97" s="4" t="s">
        <v>44</v>
      </c>
      <c r="E97" s="9" t="n">
        <v>38962</v>
      </c>
      <c r="F97" s="4" t="s">
        <v>77</v>
      </c>
      <c r="G97" s="4" t="s">
        <v>17</v>
      </c>
      <c r="H97" s="4" t="s">
        <v>46</v>
      </c>
      <c r="I97" s="7" t="n">
        <v>2018</v>
      </c>
      <c r="J97" s="7" t="n">
        <v>2024</v>
      </c>
      <c r="K97" s="4" t="s">
        <v>806</v>
      </c>
      <c r="L97" s="4" t="s">
        <v>807</v>
      </c>
      <c r="M97" s="4" t="s">
        <v>808</v>
      </c>
      <c r="N97" s="4" t="s">
        <v>809</v>
      </c>
      <c r="O97" s="4" t="s">
        <v>810</v>
      </c>
      <c r="P97" s="4" t="s">
        <v>52</v>
      </c>
    </row>
    <row r="98" customFormat="false" ht="15" hidden="false" customHeight="false" outlineLevel="0" collapsed="false">
      <c r="A98" s="4" t="s">
        <v>811</v>
      </c>
      <c r="B98" s="4" t="s">
        <v>812</v>
      </c>
      <c r="C98" s="4" t="s">
        <v>813</v>
      </c>
      <c r="D98" s="4" t="s">
        <v>44</v>
      </c>
      <c r="E98" s="9" t="n">
        <v>38209</v>
      </c>
      <c r="F98" s="4" t="s">
        <v>45</v>
      </c>
      <c r="G98" s="4" t="s">
        <v>17</v>
      </c>
      <c r="H98" s="4" t="s">
        <v>46</v>
      </c>
      <c r="I98" s="7" t="n">
        <v>2016</v>
      </c>
      <c r="J98" s="7" t="n">
        <v>2022</v>
      </c>
      <c r="K98" s="4" t="s">
        <v>814</v>
      </c>
      <c r="L98" s="4" t="s">
        <v>815</v>
      </c>
      <c r="M98" s="4" t="s">
        <v>816</v>
      </c>
      <c r="N98" s="4" t="s">
        <v>817</v>
      </c>
      <c r="O98" s="4" t="s">
        <v>818</v>
      </c>
      <c r="P98" s="4" t="s">
        <v>52</v>
      </c>
    </row>
    <row r="99" customFormat="false" ht="15" hidden="false" customHeight="false" outlineLevel="0" collapsed="false">
      <c r="A99" s="4" t="s">
        <v>819</v>
      </c>
      <c r="B99" s="4" t="s">
        <v>820</v>
      </c>
      <c r="C99" s="4" t="s">
        <v>821</v>
      </c>
      <c r="D99" s="4" t="s">
        <v>66</v>
      </c>
      <c r="E99" s="9" t="n">
        <v>38088</v>
      </c>
      <c r="F99" s="4" t="s">
        <v>56</v>
      </c>
      <c r="G99" s="4" t="s">
        <v>15</v>
      </c>
      <c r="H99" s="4" t="s">
        <v>46</v>
      </c>
      <c r="I99" s="7" t="n">
        <v>2016</v>
      </c>
      <c r="J99" s="7" t="n">
        <v>2022</v>
      </c>
      <c r="K99" s="4" t="s">
        <v>822</v>
      </c>
      <c r="L99" s="4" t="s">
        <v>823</v>
      </c>
      <c r="M99" s="4" t="s">
        <v>824</v>
      </c>
      <c r="N99" s="4" t="s">
        <v>825</v>
      </c>
      <c r="O99" s="4" t="s">
        <v>826</v>
      </c>
      <c r="P99" s="4" t="s">
        <v>52</v>
      </c>
    </row>
    <row r="100" customFormat="false" ht="15" hidden="false" customHeight="false" outlineLevel="0" collapsed="false">
      <c r="A100" s="4" t="s">
        <v>827</v>
      </c>
      <c r="B100" s="4" t="s">
        <v>828</v>
      </c>
      <c r="C100" s="4" t="s">
        <v>829</v>
      </c>
      <c r="D100" s="4" t="s">
        <v>66</v>
      </c>
      <c r="E100" s="9" t="n">
        <v>38975</v>
      </c>
      <c r="F100" s="4" t="s">
        <v>77</v>
      </c>
      <c r="G100" s="4" t="s">
        <v>18</v>
      </c>
      <c r="H100" s="4" t="s">
        <v>46</v>
      </c>
      <c r="I100" s="7" t="n">
        <v>2019</v>
      </c>
      <c r="J100" s="7" t="n">
        <v>2024</v>
      </c>
      <c r="K100" s="4" t="s">
        <v>830</v>
      </c>
      <c r="L100" s="4" t="s">
        <v>831</v>
      </c>
      <c r="M100" s="4" t="s">
        <v>832</v>
      </c>
      <c r="N100" s="4" t="s">
        <v>833</v>
      </c>
      <c r="O100" s="4" t="s">
        <v>834</v>
      </c>
      <c r="P100" s="4" t="s">
        <v>52</v>
      </c>
    </row>
    <row r="101" customFormat="false" ht="15" hidden="false" customHeight="false" outlineLevel="0" collapsed="false">
      <c r="A101" s="4" t="s">
        <v>835</v>
      </c>
      <c r="B101" s="4" t="s">
        <v>836</v>
      </c>
      <c r="C101" s="4" t="s">
        <v>837</v>
      </c>
      <c r="D101" s="4" t="s">
        <v>66</v>
      </c>
      <c r="E101" s="9" t="n">
        <v>38128</v>
      </c>
      <c r="F101" s="4" t="s">
        <v>45</v>
      </c>
      <c r="G101" s="4" t="s">
        <v>14</v>
      </c>
      <c r="H101" s="4" t="s">
        <v>57</v>
      </c>
      <c r="I101" s="7" t="n">
        <v>2016</v>
      </c>
      <c r="J101" s="7" t="n">
        <v>2022</v>
      </c>
      <c r="K101" s="4" t="s">
        <v>838</v>
      </c>
      <c r="L101" s="4" t="s">
        <v>839</v>
      </c>
      <c r="M101" s="4" t="s">
        <v>840</v>
      </c>
      <c r="N101" s="4" t="s">
        <v>841</v>
      </c>
      <c r="O101" s="4" t="s">
        <v>842</v>
      </c>
      <c r="P101" s="4" t="s">
        <v>52</v>
      </c>
    </row>
    <row r="102" customFormat="false" ht="15" hidden="false" customHeight="false" outlineLevel="0" collapsed="false">
      <c r="A102" s="4" t="s">
        <v>843</v>
      </c>
      <c r="B102" s="4" t="s">
        <v>844</v>
      </c>
      <c r="C102" s="4" t="s">
        <v>845</v>
      </c>
      <c r="D102" s="4" t="s">
        <v>66</v>
      </c>
      <c r="E102" s="9" t="n">
        <v>38469</v>
      </c>
      <c r="F102" s="4" t="s">
        <v>45</v>
      </c>
      <c r="G102" s="4" t="s">
        <v>15</v>
      </c>
      <c r="H102" s="4" t="s">
        <v>67</v>
      </c>
      <c r="I102" s="7" t="n">
        <v>2018</v>
      </c>
      <c r="J102" s="7" t="n">
        <v>2024</v>
      </c>
      <c r="K102" s="4" t="s">
        <v>846</v>
      </c>
      <c r="L102" s="4" t="s">
        <v>847</v>
      </c>
      <c r="M102" s="4" t="s">
        <v>848</v>
      </c>
      <c r="N102" s="4" t="s">
        <v>849</v>
      </c>
      <c r="O102" s="4" t="s">
        <v>850</v>
      </c>
      <c r="P102" s="4" t="s">
        <v>52</v>
      </c>
    </row>
    <row r="103" customFormat="false" ht="15" hidden="false" customHeight="false" outlineLevel="0" collapsed="false">
      <c r="A103" s="4" t="s">
        <v>851</v>
      </c>
      <c r="B103" s="4" t="s">
        <v>852</v>
      </c>
      <c r="C103" s="4" t="s">
        <v>853</v>
      </c>
      <c r="D103" s="4" t="s">
        <v>66</v>
      </c>
      <c r="E103" s="9" t="n">
        <v>38083</v>
      </c>
      <c r="F103" s="4" t="s">
        <v>56</v>
      </c>
      <c r="G103" s="4" t="s">
        <v>16</v>
      </c>
      <c r="H103" s="4" t="s">
        <v>67</v>
      </c>
      <c r="I103" s="7" t="n">
        <v>2017</v>
      </c>
      <c r="J103" s="7" t="n">
        <v>2023</v>
      </c>
      <c r="K103" s="4" t="s">
        <v>854</v>
      </c>
      <c r="L103" s="4" t="s">
        <v>855</v>
      </c>
      <c r="M103" s="4" t="s">
        <v>856</v>
      </c>
      <c r="N103" s="4" t="s">
        <v>857</v>
      </c>
      <c r="O103" s="4" t="s">
        <v>858</v>
      </c>
      <c r="P103" s="4" t="s">
        <v>52</v>
      </c>
    </row>
    <row r="104" customFormat="false" ht="15" hidden="false" customHeight="false" outlineLevel="0" collapsed="false">
      <c r="A104" s="4" t="s">
        <v>859</v>
      </c>
      <c r="B104" s="4" t="s">
        <v>860</v>
      </c>
      <c r="C104" s="4" t="s">
        <v>861</v>
      </c>
      <c r="D104" s="4" t="s">
        <v>66</v>
      </c>
      <c r="E104" s="9" t="n">
        <v>39363</v>
      </c>
      <c r="F104" s="4" t="s">
        <v>142</v>
      </c>
      <c r="G104" s="4" t="s">
        <v>14</v>
      </c>
      <c r="H104" s="4" t="s">
        <v>57</v>
      </c>
      <c r="I104" s="7" t="n">
        <v>2019</v>
      </c>
      <c r="J104" s="7" t="n">
        <v>2025</v>
      </c>
      <c r="K104" s="4" t="s">
        <v>862</v>
      </c>
      <c r="L104" s="4" t="s">
        <v>863</v>
      </c>
      <c r="M104" s="4" t="s">
        <v>626</v>
      </c>
      <c r="N104" s="4" t="s">
        <v>864</v>
      </c>
      <c r="O104" s="4" t="s">
        <v>865</v>
      </c>
      <c r="P104" s="4" t="s">
        <v>52</v>
      </c>
    </row>
    <row r="105" customFormat="false" ht="15" hidden="false" customHeight="false" outlineLevel="0" collapsed="false">
      <c r="A105" s="4" t="s">
        <v>866</v>
      </c>
      <c r="B105" s="4" t="s">
        <v>867</v>
      </c>
      <c r="C105" s="4" t="s">
        <v>868</v>
      </c>
      <c r="D105" s="4" t="s">
        <v>66</v>
      </c>
      <c r="E105" s="9" t="n">
        <v>39327</v>
      </c>
      <c r="F105" s="4" t="s">
        <v>77</v>
      </c>
      <c r="G105" s="4" t="s">
        <v>15</v>
      </c>
      <c r="H105" s="4" t="s">
        <v>67</v>
      </c>
      <c r="I105" s="7" t="n">
        <v>2020</v>
      </c>
      <c r="J105" s="7" t="n">
        <v>2025</v>
      </c>
      <c r="K105" s="4" t="s">
        <v>869</v>
      </c>
      <c r="L105" s="4" t="s">
        <v>870</v>
      </c>
      <c r="M105" s="4" t="s">
        <v>871</v>
      </c>
      <c r="N105" s="4" t="s">
        <v>872</v>
      </c>
      <c r="O105" s="4" t="s">
        <v>873</v>
      </c>
      <c r="P105" s="4" t="s">
        <v>73</v>
      </c>
    </row>
    <row r="106" customFormat="false" ht="15" hidden="false" customHeight="false" outlineLevel="0" collapsed="false">
      <c r="A106" s="4" t="s">
        <v>874</v>
      </c>
      <c r="B106" s="4" t="s">
        <v>875</v>
      </c>
      <c r="C106" s="4" t="s">
        <v>876</v>
      </c>
      <c r="D106" s="4" t="s">
        <v>66</v>
      </c>
      <c r="E106" s="9" t="n">
        <v>37773</v>
      </c>
      <c r="F106" s="4" t="s">
        <v>77</v>
      </c>
      <c r="G106" s="4" t="s">
        <v>16</v>
      </c>
      <c r="H106" s="4" t="s">
        <v>67</v>
      </c>
      <c r="I106" s="7" t="n">
        <v>2016</v>
      </c>
      <c r="J106" s="7" t="n">
        <v>2022</v>
      </c>
      <c r="K106" s="4" t="s">
        <v>877</v>
      </c>
      <c r="L106" s="4" t="s">
        <v>878</v>
      </c>
      <c r="M106" s="4" t="s">
        <v>879</v>
      </c>
      <c r="N106" s="4" t="s">
        <v>880</v>
      </c>
      <c r="O106" s="4" t="s">
        <v>881</v>
      </c>
      <c r="P106" s="4" t="s">
        <v>52</v>
      </c>
    </row>
    <row r="107" customFormat="false" ht="15" hidden="false" customHeight="false" outlineLevel="0" collapsed="false">
      <c r="A107" s="4" t="s">
        <v>882</v>
      </c>
      <c r="B107" s="4" t="s">
        <v>883</v>
      </c>
      <c r="C107" s="4" t="s">
        <v>884</v>
      </c>
      <c r="D107" s="4" t="s">
        <v>44</v>
      </c>
      <c r="E107" s="9" t="n">
        <v>37883</v>
      </c>
      <c r="F107" s="4" t="s">
        <v>77</v>
      </c>
      <c r="G107" s="4" t="s">
        <v>16</v>
      </c>
      <c r="H107" s="4" t="s">
        <v>57</v>
      </c>
      <c r="I107" s="7" t="n">
        <v>2016</v>
      </c>
      <c r="J107" s="7" t="n">
        <v>2021</v>
      </c>
      <c r="K107" s="4" t="s">
        <v>885</v>
      </c>
      <c r="L107" s="4" t="s">
        <v>886</v>
      </c>
      <c r="M107" s="4" t="s">
        <v>887</v>
      </c>
      <c r="N107" s="4" t="s">
        <v>888</v>
      </c>
      <c r="O107" s="4" t="s">
        <v>889</v>
      </c>
      <c r="P107" s="4" t="s">
        <v>52</v>
      </c>
    </row>
    <row r="108" customFormat="false" ht="15" hidden="false" customHeight="false" outlineLevel="0" collapsed="false">
      <c r="A108" s="4" t="s">
        <v>890</v>
      </c>
      <c r="B108" s="4" t="s">
        <v>891</v>
      </c>
      <c r="C108" s="4" t="s">
        <v>892</v>
      </c>
      <c r="D108" s="4" t="s">
        <v>66</v>
      </c>
      <c r="E108" s="9" t="n">
        <v>37814</v>
      </c>
      <c r="F108" s="4" t="s">
        <v>45</v>
      </c>
      <c r="G108" s="4" t="s">
        <v>15</v>
      </c>
      <c r="H108" s="4" t="s">
        <v>78</v>
      </c>
      <c r="I108" s="7" t="n">
        <v>2015</v>
      </c>
      <c r="J108" s="7" t="n">
        <v>2021</v>
      </c>
      <c r="K108" s="4" t="s">
        <v>893</v>
      </c>
      <c r="L108" s="4" t="s">
        <v>894</v>
      </c>
      <c r="M108" s="4" t="s">
        <v>895</v>
      </c>
      <c r="N108" s="4" t="s">
        <v>896</v>
      </c>
      <c r="O108" s="4" t="s">
        <v>897</v>
      </c>
      <c r="P108" s="4" t="s">
        <v>52</v>
      </c>
    </row>
    <row r="109" customFormat="false" ht="15" hidden="false" customHeight="false" outlineLevel="0" collapsed="false">
      <c r="A109" s="4" t="s">
        <v>898</v>
      </c>
      <c r="B109" s="4" t="s">
        <v>899</v>
      </c>
      <c r="C109" s="4" t="s">
        <v>900</v>
      </c>
      <c r="D109" s="4" t="s">
        <v>66</v>
      </c>
      <c r="E109" s="9" t="n">
        <v>38341</v>
      </c>
      <c r="F109" s="4" t="s">
        <v>45</v>
      </c>
      <c r="G109" s="4" t="s">
        <v>15</v>
      </c>
      <c r="H109" s="4" t="s">
        <v>67</v>
      </c>
      <c r="I109" s="7" t="n">
        <v>2017</v>
      </c>
      <c r="J109" s="7" t="n">
        <v>2023</v>
      </c>
      <c r="K109" s="4" t="s">
        <v>901</v>
      </c>
      <c r="L109" s="4" t="s">
        <v>902</v>
      </c>
      <c r="M109" s="4" t="s">
        <v>903</v>
      </c>
      <c r="N109" s="4" t="s">
        <v>904</v>
      </c>
      <c r="O109" s="4" t="s">
        <v>905</v>
      </c>
      <c r="P109" s="4" t="s">
        <v>52</v>
      </c>
    </row>
    <row r="110" customFormat="false" ht="15" hidden="false" customHeight="false" outlineLevel="0" collapsed="false">
      <c r="A110" s="4" t="s">
        <v>906</v>
      </c>
      <c r="B110" s="4" t="s">
        <v>907</v>
      </c>
      <c r="C110" s="4" t="s">
        <v>908</v>
      </c>
      <c r="D110" s="4" t="s">
        <v>44</v>
      </c>
      <c r="E110" s="9" t="n">
        <v>38908</v>
      </c>
      <c r="F110" s="4" t="s">
        <v>77</v>
      </c>
      <c r="G110" s="4" t="s">
        <v>16</v>
      </c>
      <c r="H110" s="4" t="s">
        <v>57</v>
      </c>
      <c r="I110" s="7" t="n">
        <v>2019</v>
      </c>
      <c r="J110" s="7" t="n">
        <v>2025</v>
      </c>
      <c r="K110" s="4" t="s">
        <v>909</v>
      </c>
      <c r="L110" s="4" t="s">
        <v>910</v>
      </c>
      <c r="M110" s="4" t="s">
        <v>911</v>
      </c>
      <c r="N110" s="4" t="s">
        <v>912</v>
      </c>
      <c r="O110" s="4" t="s">
        <v>913</v>
      </c>
      <c r="P110" s="4" t="s">
        <v>52</v>
      </c>
    </row>
    <row r="111" customFormat="false" ht="15" hidden="false" customHeight="false" outlineLevel="0" collapsed="false">
      <c r="A111" s="4" t="s">
        <v>914</v>
      </c>
      <c r="B111" s="4" t="s">
        <v>915</v>
      </c>
      <c r="C111" s="4" t="s">
        <v>916</v>
      </c>
      <c r="D111" s="4" t="s">
        <v>66</v>
      </c>
      <c r="E111" s="9" t="n">
        <v>38782</v>
      </c>
      <c r="F111" s="4" t="s">
        <v>45</v>
      </c>
      <c r="G111" s="4" t="s">
        <v>14</v>
      </c>
      <c r="H111" s="4" t="s">
        <v>78</v>
      </c>
      <c r="I111" s="7" t="n">
        <v>2019</v>
      </c>
      <c r="J111" s="7" t="n">
        <v>2024</v>
      </c>
      <c r="K111" s="4" t="s">
        <v>917</v>
      </c>
      <c r="L111" s="4" t="s">
        <v>918</v>
      </c>
      <c r="M111" s="4" t="s">
        <v>919</v>
      </c>
      <c r="N111" s="4" t="s">
        <v>920</v>
      </c>
      <c r="O111" s="4" t="s">
        <v>921</v>
      </c>
      <c r="P111" s="4" t="s">
        <v>52</v>
      </c>
    </row>
    <row r="112" customFormat="false" ht="15" hidden="false" customHeight="false" outlineLevel="0" collapsed="false">
      <c r="A112" s="4" t="s">
        <v>922</v>
      </c>
      <c r="B112" s="4" t="s">
        <v>923</v>
      </c>
      <c r="C112" s="4" t="s">
        <v>808</v>
      </c>
      <c r="D112" s="4" t="s">
        <v>44</v>
      </c>
      <c r="E112" s="9" t="n">
        <v>39418</v>
      </c>
      <c r="F112" s="4" t="s">
        <v>45</v>
      </c>
      <c r="G112" s="4" t="s">
        <v>17</v>
      </c>
      <c r="H112" s="4" t="s">
        <v>57</v>
      </c>
      <c r="I112" s="7" t="n">
        <v>2019</v>
      </c>
      <c r="J112" s="7" t="n">
        <v>2025</v>
      </c>
      <c r="K112" s="4" t="s">
        <v>924</v>
      </c>
      <c r="L112" s="4" t="s">
        <v>925</v>
      </c>
      <c r="M112" s="4" t="s">
        <v>926</v>
      </c>
      <c r="N112" s="4" t="s">
        <v>927</v>
      </c>
      <c r="O112" s="4" t="s">
        <v>928</v>
      </c>
      <c r="P112" s="4" t="s">
        <v>73</v>
      </c>
    </row>
    <row r="113" customFormat="false" ht="15" hidden="false" customHeight="false" outlineLevel="0" collapsed="false">
      <c r="A113" s="4" t="s">
        <v>929</v>
      </c>
      <c r="B113" s="4" t="s">
        <v>930</v>
      </c>
      <c r="C113" s="4" t="s">
        <v>931</v>
      </c>
      <c r="D113" s="4" t="s">
        <v>44</v>
      </c>
      <c r="E113" s="9" t="n">
        <v>37981</v>
      </c>
      <c r="F113" s="4" t="s">
        <v>45</v>
      </c>
      <c r="G113" s="4" t="s">
        <v>16</v>
      </c>
      <c r="H113" s="4" t="s">
        <v>57</v>
      </c>
      <c r="I113" s="7" t="n">
        <v>2016</v>
      </c>
      <c r="J113" s="7" t="n">
        <v>2021</v>
      </c>
      <c r="K113" s="4" t="s">
        <v>932</v>
      </c>
      <c r="L113" s="4" t="s">
        <v>933</v>
      </c>
      <c r="M113" s="4" t="s">
        <v>365</v>
      </c>
      <c r="N113" s="4" t="s">
        <v>934</v>
      </c>
      <c r="O113" s="4" t="s">
        <v>935</v>
      </c>
      <c r="P113" s="4" t="s">
        <v>52</v>
      </c>
    </row>
    <row r="114" customFormat="false" ht="15" hidden="false" customHeight="false" outlineLevel="0" collapsed="false">
      <c r="A114" s="4" t="s">
        <v>936</v>
      </c>
      <c r="B114" s="4" t="s">
        <v>937</v>
      </c>
      <c r="C114" s="4" t="s">
        <v>938</v>
      </c>
      <c r="D114" s="4" t="s">
        <v>44</v>
      </c>
      <c r="E114" s="9" t="n">
        <v>37937</v>
      </c>
      <c r="F114" s="4" t="s">
        <v>56</v>
      </c>
      <c r="G114" s="4" t="s">
        <v>17</v>
      </c>
      <c r="H114" s="4" t="s">
        <v>78</v>
      </c>
      <c r="I114" s="7" t="n">
        <v>2017</v>
      </c>
      <c r="J114" s="7" t="n">
        <v>2022</v>
      </c>
      <c r="K114" s="4" t="s">
        <v>939</v>
      </c>
      <c r="L114" s="4" t="s">
        <v>940</v>
      </c>
      <c r="M114" s="4" t="s">
        <v>941</v>
      </c>
      <c r="N114" s="4" t="s">
        <v>942</v>
      </c>
      <c r="O114" s="4" t="s">
        <v>943</v>
      </c>
      <c r="P114" s="4" t="s">
        <v>52</v>
      </c>
    </row>
    <row r="115" customFormat="false" ht="15" hidden="false" customHeight="false" outlineLevel="0" collapsed="false">
      <c r="A115" s="4" t="s">
        <v>944</v>
      </c>
      <c r="B115" s="4" t="s">
        <v>945</v>
      </c>
      <c r="C115" s="4" t="s">
        <v>946</v>
      </c>
      <c r="D115" s="4" t="s">
        <v>66</v>
      </c>
      <c r="E115" s="9" t="n">
        <v>38431</v>
      </c>
      <c r="F115" s="4" t="s">
        <v>142</v>
      </c>
      <c r="G115" s="4" t="s">
        <v>17</v>
      </c>
      <c r="H115" s="4" t="s">
        <v>46</v>
      </c>
      <c r="I115" s="7" t="n">
        <v>2017</v>
      </c>
      <c r="J115" s="7" t="n">
        <v>2023</v>
      </c>
      <c r="K115" s="4" t="s">
        <v>947</v>
      </c>
      <c r="L115" s="4" t="s">
        <v>948</v>
      </c>
      <c r="M115" s="4" t="s">
        <v>949</v>
      </c>
      <c r="N115" s="4" t="s">
        <v>950</v>
      </c>
      <c r="O115" s="4" t="s">
        <v>951</v>
      </c>
      <c r="P115" s="4" t="s">
        <v>52</v>
      </c>
    </row>
    <row r="116" customFormat="false" ht="15" hidden="false" customHeight="false" outlineLevel="0" collapsed="false">
      <c r="A116" s="4" t="s">
        <v>952</v>
      </c>
      <c r="B116" s="4" t="s">
        <v>953</v>
      </c>
      <c r="C116" s="4" t="s">
        <v>954</v>
      </c>
      <c r="D116" s="4" t="s">
        <v>44</v>
      </c>
      <c r="E116" s="9" t="n">
        <v>38672</v>
      </c>
      <c r="F116" s="4" t="s">
        <v>77</v>
      </c>
      <c r="G116" s="4" t="s">
        <v>14</v>
      </c>
      <c r="H116" s="4" t="s">
        <v>46</v>
      </c>
      <c r="I116" s="7" t="n">
        <v>2017</v>
      </c>
      <c r="J116" s="7" t="n">
        <v>2023</v>
      </c>
      <c r="K116" s="4" t="s">
        <v>955</v>
      </c>
      <c r="L116" s="4" t="s">
        <v>956</v>
      </c>
      <c r="M116" s="4" t="s">
        <v>602</v>
      </c>
      <c r="N116" s="4" t="s">
        <v>957</v>
      </c>
      <c r="O116" s="4" t="s">
        <v>958</v>
      </c>
      <c r="P116" s="4" t="s">
        <v>52</v>
      </c>
    </row>
    <row r="117" customFormat="false" ht="15" hidden="false" customHeight="false" outlineLevel="0" collapsed="false">
      <c r="A117" s="4" t="s">
        <v>959</v>
      </c>
      <c r="B117" s="4" t="s">
        <v>960</v>
      </c>
      <c r="C117" s="4" t="s">
        <v>961</v>
      </c>
      <c r="D117" s="4" t="s">
        <v>66</v>
      </c>
      <c r="E117" s="9" t="n">
        <v>38029</v>
      </c>
      <c r="F117" s="4" t="s">
        <v>45</v>
      </c>
      <c r="G117" s="4" t="s">
        <v>14</v>
      </c>
      <c r="H117" s="4" t="s">
        <v>46</v>
      </c>
      <c r="I117" s="7" t="n">
        <v>2018</v>
      </c>
      <c r="J117" s="7" t="n">
        <v>2023</v>
      </c>
      <c r="K117" s="4" t="s">
        <v>962</v>
      </c>
      <c r="L117" s="4" t="s">
        <v>963</v>
      </c>
      <c r="M117" s="4" t="s">
        <v>964</v>
      </c>
      <c r="N117" s="4" t="s">
        <v>965</v>
      </c>
      <c r="O117" s="4" t="s">
        <v>966</v>
      </c>
      <c r="P117" s="4" t="s">
        <v>52</v>
      </c>
    </row>
    <row r="118" customFormat="false" ht="15" hidden="false" customHeight="false" outlineLevel="0" collapsed="false">
      <c r="A118" s="4" t="s">
        <v>967</v>
      </c>
      <c r="B118" s="4" t="s">
        <v>968</v>
      </c>
      <c r="C118" s="4" t="s">
        <v>969</v>
      </c>
      <c r="D118" s="4" t="s">
        <v>66</v>
      </c>
      <c r="E118" s="9" t="n">
        <v>37745</v>
      </c>
      <c r="F118" s="4" t="s">
        <v>45</v>
      </c>
      <c r="G118" s="4" t="s">
        <v>16</v>
      </c>
      <c r="H118" s="4" t="s">
        <v>57</v>
      </c>
      <c r="I118" s="7" t="n">
        <v>2017</v>
      </c>
      <c r="J118" s="7" t="n">
        <v>2022</v>
      </c>
      <c r="K118" s="4" t="s">
        <v>970</v>
      </c>
      <c r="L118" s="4" t="s">
        <v>971</v>
      </c>
      <c r="M118" s="4" t="s">
        <v>972</v>
      </c>
      <c r="N118" s="4" t="s">
        <v>973</v>
      </c>
      <c r="O118" s="4" t="s">
        <v>974</v>
      </c>
      <c r="P118" s="4" t="s">
        <v>52</v>
      </c>
    </row>
    <row r="119" customFormat="false" ht="15" hidden="false" customHeight="false" outlineLevel="0" collapsed="false">
      <c r="A119" s="4" t="s">
        <v>975</v>
      </c>
      <c r="B119" s="4" t="s">
        <v>976</v>
      </c>
      <c r="C119" s="4" t="s">
        <v>977</v>
      </c>
      <c r="D119" s="4" t="s">
        <v>66</v>
      </c>
      <c r="E119" s="9" t="n">
        <v>38447</v>
      </c>
      <c r="F119" s="4" t="s">
        <v>77</v>
      </c>
      <c r="G119" s="4" t="s">
        <v>15</v>
      </c>
      <c r="H119" s="4" t="s">
        <v>78</v>
      </c>
      <c r="I119" s="7" t="n">
        <v>2018</v>
      </c>
      <c r="J119" s="7" t="n">
        <v>2024</v>
      </c>
      <c r="K119" s="4" t="s">
        <v>978</v>
      </c>
      <c r="L119" s="4" t="s">
        <v>979</v>
      </c>
      <c r="M119" s="4" t="s">
        <v>980</v>
      </c>
      <c r="N119" s="4" t="s">
        <v>981</v>
      </c>
      <c r="O119" s="4" t="s">
        <v>982</v>
      </c>
      <c r="P119" s="4" t="s">
        <v>52</v>
      </c>
    </row>
    <row r="120" customFormat="false" ht="15" hidden="false" customHeight="false" outlineLevel="0" collapsed="false">
      <c r="A120" s="4" t="s">
        <v>983</v>
      </c>
      <c r="B120" s="4" t="s">
        <v>984</v>
      </c>
      <c r="C120" s="4" t="s">
        <v>985</v>
      </c>
      <c r="D120" s="4" t="s">
        <v>44</v>
      </c>
      <c r="E120" s="9" t="n">
        <v>38205</v>
      </c>
      <c r="F120" s="4" t="s">
        <v>45</v>
      </c>
      <c r="G120" s="4" t="s">
        <v>15</v>
      </c>
      <c r="H120" s="4" t="s">
        <v>46</v>
      </c>
      <c r="I120" s="7" t="n">
        <v>2017</v>
      </c>
      <c r="J120" s="7" t="n">
        <v>2023</v>
      </c>
      <c r="K120" s="4" t="s">
        <v>986</v>
      </c>
      <c r="L120" s="4" t="s">
        <v>987</v>
      </c>
      <c r="M120" s="4" t="s">
        <v>980</v>
      </c>
      <c r="N120" s="4" t="s">
        <v>988</v>
      </c>
      <c r="O120" s="4" t="s">
        <v>989</v>
      </c>
      <c r="P120" s="4" t="s">
        <v>52</v>
      </c>
    </row>
    <row r="121" customFormat="false" ht="15" hidden="false" customHeight="false" outlineLevel="0" collapsed="false">
      <c r="A121" s="4" t="s">
        <v>990</v>
      </c>
      <c r="B121" s="4" t="s">
        <v>991</v>
      </c>
      <c r="C121" s="4" t="s">
        <v>992</v>
      </c>
      <c r="D121" s="4" t="s">
        <v>44</v>
      </c>
      <c r="E121" s="9" t="n">
        <v>39397</v>
      </c>
      <c r="F121" s="4" t="s">
        <v>77</v>
      </c>
      <c r="G121" s="4" t="s">
        <v>15</v>
      </c>
      <c r="H121" s="4" t="s">
        <v>57</v>
      </c>
      <c r="I121" s="7" t="n">
        <v>2019</v>
      </c>
      <c r="J121" s="7" t="n">
        <v>2025</v>
      </c>
      <c r="K121" s="4" t="s">
        <v>993</v>
      </c>
      <c r="L121" s="4" t="s">
        <v>994</v>
      </c>
      <c r="M121" s="4" t="s">
        <v>995</v>
      </c>
      <c r="N121" s="4" t="s">
        <v>996</v>
      </c>
      <c r="O121" s="4" t="s">
        <v>997</v>
      </c>
      <c r="P121" s="4" t="s">
        <v>73</v>
      </c>
    </row>
    <row r="122" customFormat="false" ht="15" hidden="false" customHeight="false" outlineLevel="0" collapsed="false">
      <c r="A122" s="4" t="s">
        <v>998</v>
      </c>
      <c r="B122" s="4" t="s">
        <v>999</v>
      </c>
      <c r="C122" s="4" t="s">
        <v>1000</v>
      </c>
      <c r="D122" s="4" t="s">
        <v>66</v>
      </c>
      <c r="E122" s="9" t="n">
        <v>39084</v>
      </c>
      <c r="F122" s="4" t="s">
        <v>142</v>
      </c>
      <c r="G122" s="4" t="s">
        <v>15</v>
      </c>
      <c r="H122" s="4" t="s">
        <v>67</v>
      </c>
      <c r="I122" s="7" t="n">
        <v>2019</v>
      </c>
      <c r="J122" s="7" t="n">
        <v>2025</v>
      </c>
      <c r="K122" s="4" t="s">
        <v>1001</v>
      </c>
      <c r="L122" s="4" t="s">
        <v>1002</v>
      </c>
      <c r="M122" s="4" t="s">
        <v>1003</v>
      </c>
      <c r="N122" s="4" t="s">
        <v>1004</v>
      </c>
      <c r="O122" s="4" t="s">
        <v>1005</v>
      </c>
      <c r="P122" s="4" t="s">
        <v>73</v>
      </c>
    </row>
    <row r="123" customFormat="false" ht="15" hidden="false" customHeight="false" outlineLevel="0" collapsed="false">
      <c r="A123" s="4" t="s">
        <v>1006</v>
      </c>
      <c r="B123" s="4" t="s">
        <v>1007</v>
      </c>
      <c r="C123" s="4" t="s">
        <v>1008</v>
      </c>
      <c r="D123" s="4" t="s">
        <v>44</v>
      </c>
      <c r="E123" s="9" t="n">
        <v>37502</v>
      </c>
      <c r="F123" s="4" t="s">
        <v>56</v>
      </c>
      <c r="G123" s="4" t="s">
        <v>14</v>
      </c>
      <c r="H123" s="4" t="s">
        <v>78</v>
      </c>
      <c r="I123" s="7" t="n">
        <v>2015</v>
      </c>
      <c r="J123" s="7" t="n">
        <v>2021</v>
      </c>
      <c r="K123" s="4" t="s">
        <v>1009</v>
      </c>
      <c r="L123" s="4" t="s">
        <v>1010</v>
      </c>
      <c r="M123" s="4" t="s">
        <v>1011</v>
      </c>
      <c r="N123" s="4" t="s">
        <v>1012</v>
      </c>
      <c r="O123" s="4" t="s">
        <v>1013</v>
      </c>
      <c r="P123" s="4" t="s">
        <v>52</v>
      </c>
    </row>
    <row r="124" customFormat="false" ht="15" hidden="false" customHeight="false" outlineLevel="0" collapsed="false">
      <c r="A124" s="4" t="s">
        <v>1014</v>
      </c>
      <c r="B124" s="4" t="s">
        <v>1015</v>
      </c>
      <c r="C124" s="4" t="s">
        <v>1016</v>
      </c>
      <c r="D124" s="4" t="s">
        <v>66</v>
      </c>
      <c r="E124" s="9" t="n">
        <v>38938</v>
      </c>
      <c r="F124" s="4" t="s">
        <v>45</v>
      </c>
      <c r="G124" s="4" t="s">
        <v>17</v>
      </c>
      <c r="H124" s="4" t="s">
        <v>78</v>
      </c>
      <c r="I124" s="7" t="n">
        <v>2019</v>
      </c>
      <c r="J124" s="7" t="n">
        <v>2024</v>
      </c>
      <c r="K124" s="4" t="s">
        <v>1017</v>
      </c>
      <c r="L124" s="4" t="s">
        <v>1018</v>
      </c>
      <c r="M124" s="4" t="s">
        <v>1019</v>
      </c>
      <c r="N124" s="4" t="s">
        <v>1020</v>
      </c>
      <c r="O124" s="4" t="s">
        <v>1021</v>
      </c>
      <c r="P124" s="4" t="s">
        <v>52</v>
      </c>
    </row>
    <row r="125" customFormat="false" ht="15" hidden="false" customHeight="false" outlineLevel="0" collapsed="false">
      <c r="A125" s="4" t="s">
        <v>1022</v>
      </c>
      <c r="B125" s="4" t="s">
        <v>1023</v>
      </c>
      <c r="C125" s="4" t="s">
        <v>1024</v>
      </c>
      <c r="D125" s="4" t="s">
        <v>44</v>
      </c>
      <c r="E125" s="9" t="n">
        <v>38331</v>
      </c>
      <c r="F125" s="4" t="s">
        <v>45</v>
      </c>
      <c r="G125" s="4" t="s">
        <v>14</v>
      </c>
      <c r="H125" s="4" t="s">
        <v>67</v>
      </c>
      <c r="I125" s="7" t="n">
        <v>2017</v>
      </c>
      <c r="J125" s="7" t="n">
        <v>2023</v>
      </c>
      <c r="K125" s="4" t="s">
        <v>1025</v>
      </c>
      <c r="L125" s="4" t="s">
        <v>1026</v>
      </c>
      <c r="M125" s="4" t="s">
        <v>1027</v>
      </c>
      <c r="N125" s="4" t="s">
        <v>1028</v>
      </c>
      <c r="O125" s="4" t="s">
        <v>1029</v>
      </c>
      <c r="P125" s="4" t="s">
        <v>52</v>
      </c>
    </row>
    <row r="126" customFormat="false" ht="15" hidden="false" customHeight="false" outlineLevel="0" collapsed="false">
      <c r="A126" s="4" t="s">
        <v>1030</v>
      </c>
      <c r="B126" s="4" t="s">
        <v>1031</v>
      </c>
      <c r="C126" s="4" t="s">
        <v>1032</v>
      </c>
      <c r="D126" s="4" t="s">
        <v>44</v>
      </c>
      <c r="E126" s="9" t="n">
        <v>39162</v>
      </c>
      <c r="F126" s="4" t="s">
        <v>142</v>
      </c>
      <c r="G126" s="4" t="s">
        <v>14</v>
      </c>
      <c r="H126" s="4" t="s">
        <v>57</v>
      </c>
      <c r="I126" s="7" t="n">
        <v>2019</v>
      </c>
      <c r="J126" s="7" t="n">
        <v>2025</v>
      </c>
      <c r="K126" s="4" t="s">
        <v>1033</v>
      </c>
      <c r="L126" s="4" t="s">
        <v>1034</v>
      </c>
      <c r="M126" s="4" t="s">
        <v>1035</v>
      </c>
      <c r="N126" s="4" t="s">
        <v>1036</v>
      </c>
      <c r="O126" s="4" t="s">
        <v>1037</v>
      </c>
      <c r="P126" s="4" t="s">
        <v>73</v>
      </c>
    </row>
    <row r="127" customFormat="false" ht="15" hidden="false" customHeight="false" outlineLevel="0" collapsed="false">
      <c r="A127" s="4" t="s">
        <v>1038</v>
      </c>
      <c r="B127" s="4" t="s">
        <v>1039</v>
      </c>
      <c r="C127" s="4" t="s">
        <v>1040</v>
      </c>
      <c r="D127" s="4" t="s">
        <v>44</v>
      </c>
      <c r="E127" s="9" t="n">
        <v>38410</v>
      </c>
      <c r="F127" s="4" t="s">
        <v>77</v>
      </c>
      <c r="G127" s="4" t="s">
        <v>17</v>
      </c>
      <c r="H127" s="4" t="s">
        <v>57</v>
      </c>
      <c r="I127" s="7" t="n">
        <v>2017</v>
      </c>
      <c r="J127" s="7" t="n">
        <v>2023</v>
      </c>
      <c r="K127" s="4" t="s">
        <v>1041</v>
      </c>
      <c r="L127" s="4" t="s">
        <v>1042</v>
      </c>
      <c r="M127" s="4" t="s">
        <v>1043</v>
      </c>
      <c r="N127" s="4" t="s">
        <v>1044</v>
      </c>
      <c r="O127" s="4" t="s">
        <v>1045</v>
      </c>
      <c r="P127" s="4" t="s">
        <v>52</v>
      </c>
    </row>
    <row r="128" customFormat="false" ht="15" hidden="false" customHeight="false" outlineLevel="0" collapsed="false">
      <c r="A128" s="4" t="s">
        <v>1046</v>
      </c>
      <c r="B128" s="4" t="s">
        <v>1047</v>
      </c>
      <c r="C128" s="4" t="s">
        <v>1048</v>
      </c>
      <c r="D128" s="4" t="s">
        <v>44</v>
      </c>
      <c r="E128" s="9" t="n">
        <v>37627</v>
      </c>
      <c r="F128" s="4" t="s">
        <v>45</v>
      </c>
      <c r="G128" s="4" t="s">
        <v>15</v>
      </c>
      <c r="H128" s="4" t="s">
        <v>46</v>
      </c>
      <c r="I128" s="7" t="n">
        <v>2017</v>
      </c>
      <c r="J128" s="7" t="n">
        <v>2022</v>
      </c>
      <c r="K128" s="4" t="s">
        <v>1049</v>
      </c>
      <c r="L128" s="4" t="s">
        <v>1050</v>
      </c>
      <c r="M128" s="4" t="s">
        <v>1051</v>
      </c>
      <c r="N128" s="4" t="s">
        <v>1052</v>
      </c>
      <c r="O128" s="4" t="s">
        <v>1053</v>
      </c>
      <c r="P128" s="4" t="s">
        <v>52</v>
      </c>
    </row>
    <row r="129" customFormat="false" ht="15" hidden="false" customHeight="false" outlineLevel="0" collapsed="false">
      <c r="A129" s="4" t="s">
        <v>1054</v>
      </c>
      <c r="B129" s="4" t="s">
        <v>1055</v>
      </c>
      <c r="C129" s="4" t="s">
        <v>1056</v>
      </c>
      <c r="D129" s="4" t="s">
        <v>44</v>
      </c>
      <c r="E129" s="9" t="n">
        <v>39142</v>
      </c>
      <c r="F129" s="4" t="s">
        <v>77</v>
      </c>
      <c r="G129" s="4" t="s">
        <v>14</v>
      </c>
      <c r="H129" s="4" t="s">
        <v>67</v>
      </c>
      <c r="I129" s="7" t="n">
        <v>2019</v>
      </c>
      <c r="J129" s="7" t="n">
        <v>2025</v>
      </c>
      <c r="K129" s="4" t="s">
        <v>1057</v>
      </c>
      <c r="L129" s="4" t="s">
        <v>1058</v>
      </c>
      <c r="M129" s="4" t="s">
        <v>1059</v>
      </c>
      <c r="N129" s="4" t="s">
        <v>1060</v>
      </c>
      <c r="O129" s="4" t="s">
        <v>1061</v>
      </c>
      <c r="P129" s="4" t="s">
        <v>73</v>
      </c>
    </row>
    <row r="130" customFormat="false" ht="15" hidden="false" customHeight="false" outlineLevel="0" collapsed="false">
      <c r="A130" s="4" t="s">
        <v>1062</v>
      </c>
      <c r="B130" s="4" t="s">
        <v>1063</v>
      </c>
      <c r="C130" s="4" t="s">
        <v>1064</v>
      </c>
      <c r="D130" s="4" t="s">
        <v>44</v>
      </c>
      <c r="E130" s="9" t="n">
        <v>38433</v>
      </c>
      <c r="F130" s="4" t="s">
        <v>56</v>
      </c>
      <c r="G130" s="4" t="s">
        <v>16</v>
      </c>
      <c r="H130" s="4" t="s">
        <v>57</v>
      </c>
      <c r="I130" s="7" t="n">
        <v>2019</v>
      </c>
      <c r="J130" s="7" t="n">
        <v>2024</v>
      </c>
      <c r="K130" s="4" t="s">
        <v>1065</v>
      </c>
      <c r="L130" s="4" t="s">
        <v>1066</v>
      </c>
      <c r="M130" s="4" t="s">
        <v>1067</v>
      </c>
      <c r="N130" s="4" t="s">
        <v>1068</v>
      </c>
      <c r="O130" s="4" t="s">
        <v>1069</v>
      </c>
      <c r="P130" s="4" t="s">
        <v>52</v>
      </c>
    </row>
    <row r="131" customFormat="false" ht="15" hidden="false" customHeight="false" outlineLevel="0" collapsed="false">
      <c r="A131" s="4" t="s">
        <v>1070</v>
      </c>
      <c r="B131" s="4" t="s">
        <v>1071</v>
      </c>
      <c r="C131" s="4" t="s">
        <v>1072</v>
      </c>
      <c r="D131" s="4" t="s">
        <v>44</v>
      </c>
      <c r="E131" s="9" t="n">
        <v>38143</v>
      </c>
      <c r="F131" s="4" t="s">
        <v>56</v>
      </c>
      <c r="G131" s="4" t="s">
        <v>14</v>
      </c>
      <c r="H131" s="4" t="s">
        <v>78</v>
      </c>
      <c r="I131" s="7" t="n">
        <v>2016</v>
      </c>
      <c r="J131" s="7" t="n">
        <v>2022</v>
      </c>
      <c r="K131" s="4" t="s">
        <v>1073</v>
      </c>
      <c r="L131" s="4" t="s">
        <v>1074</v>
      </c>
      <c r="M131" s="4" t="s">
        <v>1075</v>
      </c>
      <c r="N131" s="4" t="s">
        <v>1076</v>
      </c>
      <c r="O131" s="4" t="s">
        <v>1077</v>
      </c>
      <c r="P131" s="4" t="s">
        <v>52</v>
      </c>
    </row>
    <row r="132" customFormat="false" ht="15" hidden="false" customHeight="false" outlineLevel="0" collapsed="false">
      <c r="A132" s="4" t="s">
        <v>1078</v>
      </c>
      <c r="B132" s="4" t="s">
        <v>1079</v>
      </c>
      <c r="C132" s="4" t="s">
        <v>1080</v>
      </c>
      <c r="D132" s="4" t="s">
        <v>44</v>
      </c>
      <c r="E132" s="9" t="n">
        <v>38915</v>
      </c>
      <c r="F132" s="4" t="s">
        <v>45</v>
      </c>
      <c r="G132" s="4" t="s">
        <v>17</v>
      </c>
      <c r="H132" s="4" t="s">
        <v>46</v>
      </c>
      <c r="I132" s="7" t="n">
        <v>2019</v>
      </c>
      <c r="J132" s="7" t="n">
        <v>2025</v>
      </c>
      <c r="K132" s="4" t="s">
        <v>1081</v>
      </c>
      <c r="L132" s="4" t="s">
        <v>1082</v>
      </c>
      <c r="M132" s="4" t="s">
        <v>1083</v>
      </c>
      <c r="N132" s="4" t="s">
        <v>1084</v>
      </c>
      <c r="O132" s="4" t="s">
        <v>1085</v>
      </c>
      <c r="P132" s="4" t="s">
        <v>52</v>
      </c>
    </row>
    <row r="133" customFormat="false" ht="15" hidden="false" customHeight="false" outlineLevel="0" collapsed="false">
      <c r="A133" s="4" t="s">
        <v>1086</v>
      </c>
      <c r="B133" s="4" t="s">
        <v>1087</v>
      </c>
      <c r="C133" s="4" t="s">
        <v>1088</v>
      </c>
      <c r="D133" s="4" t="s">
        <v>44</v>
      </c>
      <c r="E133" s="9" t="n">
        <v>37887</v>
      </c>
      <c r="F133" s="4" t="s">
        <v>77</v>
      </c>
      <c r="G133" s="4" t="s">
        <v>18</v>
      </c>
      <c r="H133" s="4" t="s">
        <v>67</v>
      </c>
      <c r="I133" s="7" t="n">
        <v>2017</v>
      </c>
      <c r="J133" s="7" t="n">
        <v>2022</v>
      </c>
      <c r="K133" s="4" t="s">
        <v>1089</v>
      </c>
      <c r="L133" s="4" t="s">
        <v>1090</v>
      </c>
      <c r="M133" s="4" t="s">
        <v>1091</v>
      </c>
      <c r="N133" s="4" t="s">
        <v>1092</v>
      </c>
      <c r="O133" s="4" t="s">
        <v>1093</v>
      </c>
      <c r="P133" s="4" t="s">
        <v>52</v>
      </c>
    </row>
    <row r="134" customFormat="false" ht="15" hidden="false" customHeight="false" outlineLevel="0" collapsed="false">
      <c r="A134" s="4" t="s">
        <v>1094</v>
      </c>
      <c r="B134" s="4" t="s">
        <v>1095</v>
      </c>
      <c r="C134" s="4" t="s">
        <v>1096</v>
      </c>
      <c r="D134" s="4" t="s">
        <v>44</v>
      </c>
      <c r="E134" s="9" t="n">
        <v>37380</v>
      </c>
      <c r="F134" s="4" t="s">
        <v>77</v>
      </c>
      <c r="G134" s="4" t="s">
        <v>14</v>
      </c>
      <c r="H134" s="4" t="s">
        <v>67</v>
      </c>
      <c r="I134" s="7" t="n">
        <v>2016</v>
      </c>
      <c r="J134" s="7" t="n">
        <v>2021</v>
      </c>
      <c r="K134" s="4" t="s">
        <v>1097</v>
      </c>
      <c r="L134" s="4" t="s">
        <v>1098</v>
      </c>
      <c r="M134" s="4" t="s">
        <v>1099</v>
      </c>
      <c r="N134" s="4" t="s">
        <v>1100</v>
      </c>
      <c r="O134" s="4" t="s">
        <v>1101</v>
      </c>
      <c r="P134" s="4" t="s">
        <v>52</v>
      </c>
    </row>
    <row r="135" customFormat="false" ht="15" hidden="false" customHeight="false" outlineLevel="0" collapsed="false">
      <c r="A135" s="4" t="s">
        <v>1102</v>
      </c>
      <c r="B135" s="4" t="s">
        <v>1103</v>
      </c>
      <c r="C135" s="4" t="s">
        <v>1104</v>
      </c>
      <c r="D135" s="4" t="s">
        <v>44</v>
      </c>
      <c r="E135" s="9" t="n">
        <v>37654</v>
      </c>
      <c r="F135" s="4" t="s">
        <v>56</v>
      </c>
      <c r="G135" s="4" t="s">
        <v>14</v>
      </c>
      <c r="H135" s="4" t="s">
        <v>78</v>
      </c>
      <c r="I135" s="7" t="n">
        <v>2016</v>
      </c>
      <c r="J135" s="7" t="n">
        <v>2022</v>
      </c>
      <c r="K135" s="4" t="s">
        <v>1105</v>
      </c>
      <c r="L135" s="4" t="s">
        <v>1106</v>
      </c>
      <c r="M135" s="4" t="s">
        <v>1107</v>
      </c>
      <c r="N135" s="4" t="s">
        <v>1108</v>
      </c>
      <c r="O135" s="4" t="s">
        <v>1109</v>
      </c>
      <c r="P135" s="4" t="s">
        <v>52</v>
      </c>
    </row>
    <row r="136" customFormat="false" ht="15" hidden="false" customHeight="false" outlineLevel="0" collapsed="false">
      <c r="A136" s="4" t="s">
        <v>1110</v>
      </c>
      <c r="B136" s="4" t="s">
        <v>1111</v>
      </c>
      <c r="C136" s="4" t="s">
        <v>1112</v>
      </c>
      <c r="D136" s="4" t="s">
        <v>44</v>
      </c>
      <c r="E136" s="9" t="n">
        <v>38576</v>
      </c>
      <c r="F136" s="4" t="s">
        <v>77</v>
      </c>
      <c r="G136" s="4" t="s">
        <v>14</v>
      </c>
      <c r="H136" s="4" t="s">
        <v>57</v>
      </c>
      <c r="I136" s="7" t="n">
        <v>2019</v>
      </c>
      <c r="J136" s="7" t="n">
        <v>2024</v>
      </c>
      <c r="K136" s="4" t="s">
        <v>1113</v>
      </c>
      <c r="L136" s="4" t="s">
        <v>1114</v>
      </c>
      <c r="M136" s="4" t="s">
        <v>1115</v>
      </c>
      <c r="N136" s="4" t="s">
        <v>1116</v>
      </c>
      <c r="O136" s="4" t="s">
        <v>1117</v>
      </c>
      <c r="P136" s="4" t="s">
        <v>52</v>
      </c>
    </row>
    <row r="137" customFormat="false" ht="15" hidden="false" customHeight="false" outlineLevel="0" collapsed="false">
      <c r="A137" s="4" t="s">
        <v>1118</v>
      </c>
      <c r="B137" s="4" t="s">
        <v>1119</v>
      </c>
      <c r="C137" s="4" t="s">
        <v>1120</v>
      </c>
      <c r="D137" s="4" t="s">
        <v>44</v>
      </c>
      <c r="E137" s="9" t="n">
        <v>39132</v>
      </c>
      <c r="F137" s="4" t="s">
        <v>56</v>
      </c>
      <c r="G137" s="4" t="s">
        <v>14</v>
      </c>
      <c r="H137" s="4" t="s">
        <v>46</v>
      </c>
      <c r="I137" s="7" t="n">
        <v>2019</v>
      </c>
      <c r="J137" s="7" t="n">
        <v>2025</v>
      </c>
      <c r="K137" s="4" t="s">
        <v>1121</v>
      </c>
      <c r="L137" s="4" t="s">
        <v>1122</v>
      </c>
      <c r="M137" s="4" t="s">
        <v>1123</v>
      </c>
      <c r="N137" s="4" t="s">
        <v>1124</v>
      </c>
      <c r="O137" s="4" t="s">
        <v>1125</v>
      </c>
      <c r="P137" s="4" t="s">
        <v>52</v>
      </c>
    </row>
    <row r="138" customFormat="false" ht="15" hidden="false" customHeight="false" outlineLevel="0" collapsed="false">
      <c r="A138" s="4" t="s">
        <v>1126</v>
      </c>
      <c r="B138" s="4" t="s">
        <v>1127</v>
      </c>
      <c r="C138" s="4" t="s">
        <v>1128</v>
      </c>
      <c r="D138" s="4" t="s">
        <v>66</v>
      </c>
      <c r="E138" s="9" t="n">
        <v>38713</v>
      </c>
      <c r="F138" s="4" t="s">
        <v>45</v>
      </c>
      <c r="G138" s="4" t="s">
        <v>16</v>
      </c>
      <c r="H138" s="4" t="s">
        <v>78</v>
      </c>
      <c r="I138" s="7" t="n">
        <v>2018</v>
      </c>
      <c r="J138" s="7" t="n">
        <v>2023</v>
      </c>
      <c r="K138" s="4" t="s">
        <v>1129</v>
      </c>
      <c r="L138" s="4" t="s">
        <v>1130</v>
      </c>
      <c r="M138" s="4" t="s">
        <v>1131</v>
      </c>
      <c r="N138" s="4" t="s">
        <v>1132</v>
      </c>
      <c r="O138" s="4" t="s">
        <v>1133</v>
      </c>
      <c r="P138" s="4" t="s">
        <v>52</v>
      </c>
    </row>
    <row r="139" customFormat="false" ht="15" hidden="false" customHeight="false" outlineLevel="0" collapsed="false">
      <c r="A139" s="4" t="s">
        <v>1134</v>
      </c>
      <c r="B139" s="4" t="s">
        <v>1135</v>
      </c>
      <c r="C139" s="4" t="s">
        <v>1136</v>
      </c>
      <c r="D139" s="4" t="s">
        <v>66</v>
      </c>
      <c r="E139" s="9" t="n">
        <v>38780</v>
      </c>
      <c r="F139" s="4" t="s">
        <v>77</v>
      </c>
      <c r="G139" s="4" t="s">
        <v>16</v>
      </c>
      <c r="H139" s="4" t="s">
        <v>67</v>
      </c>
      <c r="I139" s="7" t="n">
        <v>2019</v>
      </c>
      <c r="J139" s="7" t="n">
        <v>2024</v>
      </c>
      <c r="K139" s="4" t="s">
        <v>1137</v>
      </c>
      <c r="L139" s="4" t="s">
        <v>1138</v>
      </c>
      <c r="M139" s="4" t="s">
        <v>1139</v>
      </c>
      <c r="N139" s="4" t="s">
        <v>1140</v>
      </c>
      <c r="O139" s="4" t="s">
        <v>1141</v>
      </c>
      <c r="P139" s="4" t="s">
        <v>52</v>
      </c>
    </row>
    <row r="140" customFormat="false" ht="15" hidden="false" customHeight="false" outlineLevel="0" collapsed="false">
      <c r="A140" s="4" t="s">
        <v>1142</v>
      </c>
      <c r="B140" s="4" t="s">
        <v>1143</v>
      </c>
      <c r="C140" s="4" t="s">
        <v>150</v>
      </c>
      <c r="D140" s="4" t="s">
        <v>44</v>
      </c>
      <c r="E140" s="9" t="n">
        <v>38027</v>
      </c>
      <c r="F140" s="4" t="s">
        <v>45</v>
      </c>
      <c r="G140" s="4" t="s">
        <v>14</v>
      </c>
      <c r="H140" s="4" t="s">
        <v>57</v>
      </c>
      <c r="I140" s="7" t="n">
        <v>2018</v>
      </c>
      <c r="J140" s="7" t="n">
        <v>2023</v>
      </c>
      <c r="K140" s="4" t="s">
        <v>1144</v>
      </c>
      <c r="L140" s="4" t="s">
        <v>1145</v>
      </c>
      <c r="M140" s="4" t="s">
        <v>1146</v>
      </c>
      <c r="N140" s="4" t="s">
        <v>1147</v>
      </c>
      <c r="O140" s="4" t="s">
        <v>1148</v>
      </c>
      <c r="P140" s="4" t="s">
        <v>52</v>
      </c>
    </row>
    <row r="141" customFormat="false" ht="15" hidden="false" customHeight="false" outlineLevel="0" collapsed="false">
      <c r="A141" s="4" t="s">
        <v>1149</v>
      </c>
      <c r="B141" s="4" t="s">
        <v>1150</v>
      </c>
      <c r="C141" s="4" t="s">
        <v>1151</v>
      </c>
      <c r="D141" s="4" t="s">
        <v>44</v>
      </c>
      <c r="E141" s="9" t="n">
        <v>38182</v>
      </c>
      <c r="F141" s="4" t="s">
        <v>45</v>
      </c>
      <c r="G141" s="4" t="s">
        <v>14</v>
      </c>
      <c r="H141" s="4" t="s">
        <v>78</v>
      </c>
      <c r="I141" s="7" t="n">
        <v>2017</v>
      </c>
      <c r="J141" s="7" t="n">
        <v>2022</v>
      </c>
      <c r="K141" s="4" t="s">
        <v>1152</v>
      </c>
      <c r="L141" s="4" t="s">
        <v>1153</v>
      </c>
      <c r="M141" s="4" t="s">
        <v>1154</v>
      </c>
      <c r="N141" s="4" t="s">
        <v>1155</v>
      </c>
      <c r="O141" s="4" t="s">
        <v>1156</v>
      </c>
      <c r="P141" s="4" t="s">
        <v>52</v>
      </c>
    </row>
    <row r="142" customFormat="false" ht="15" hidden="false" customHeight="false" outlineLevel="0" collapsed="false">
      <c r="A142" s="4" t="s">
        <v>1157</v>
      </c>
      <c r="B142" s="4" t="s">
        <v>1158</v>
      </c>
      <c r="C142" s="4" t="s">
        <v>1159</v>
      </c>
      <c r="D142" s="4" t="s">
        <v>66</v>
      </c>
      <c r="E142" s="9" t="n">
        <v>37779</v>
      </c>
      <c r="F142" s="4" t="s">
        <v>142</v>
      </c>
      <c r="G142" s="4" t="s">
        <v>16</v>
      </c>
      <c r="H142" s="4" t="s">
        <v>67</v>
      </c>
      <c r="I142" s="7" t="n">
        <v>2016</v>
      </c>
      <c r="J142" s="7" t="n">
        <v>2022</v>
      </c>
      <c r="K142" s="4" t="s">
        <v>1160</v>
      </c>
      <c r="L142" s="4" t="s">
        <v>1161</v>
      </c>
      <c r="M142" s="4" t="s">
        <v>1162</v>
      </c>
      <c r="N142" s="4" t="s">
        <v>1163</v>
      </c>
      <c r="O142" s="4" t="s">
        <v>1164</v>
      </c>
      <c r="P142" s="4" t="s">
        <v>52</v>
      </c>
    </row>
    <row r="143" customFormat="false" ht="15" hidden="false" customHeight="false" outlineLevel="0" collapsed="false">
      <c r="A143" s="4" t="s">
        <v>1165</v>
      </c>
      <c r="B143" s="4" t="s">
        <v>1166</v>
      </c>
      <c r="C143" s="4" t="s">
        <v>1167</v>
      </c>
      <c r="D143" s="4" t="s">
        <v>44</v>
      </c>
      <c r="E143" s="9" t="n">
        <v>38817</v>
      </c>
      <c r="F143" s="4" t="s">
        <v>56</v>
      </c>
      <c r="G143" s="4" t="s">
        <v>16</v>
      </c>
      <c r="H143" s="4" t="s">
        <v>67</v>
      </c>
      <c r="I143" s="7" t="n">
        <v>2018</v>
      </c>
      <c r="J143" s="7" t="n">
        <v>2024</v>
      </c>
      <c r="K143" s="4" t="s">
        <v>1168</v>
      </c>
      <c r="L143" s="4" t="s">
        <v>1169</v>
      </c>
      <c r="M143" s="4" t="s">
        <v>1170</v>
      </c>
      <c r="N143" s="4" t="s">
        <v>1171</v>
      </c>
      <c r="O143" s="4" t="s">
        <v>1172</v>
      </c>
      <c r="P143" s="4" t="s">
        <v>52</v>
      </c>
    </row>
    <row r="144" customFormat="false" ht="15" hidden="false" customHeight="false" outlineLevel="0" collapsed="false">
      <c r="A144" s="4" t="s">
        <v>1173</v>
      </c>
      <c r="B144" s="4" t="s">
        <v>1174</v>
      </c>
      <c r="C144" s="4" t="s">
        <v>1175</v>
      </c>
      <c r="D144" s="4" t="s">
        <v>66</v>
      </c>
      <c r="E144" s="9" t="n">
        <v>37342</v>
      </c>
      <c r="F144" s="4" t="s">
        <v>45</v>
      </c>
      <c r="G144" s="4" t="s">
        <v>17</v>
      </c>
      <c r="H144" s="4" t="s">
        <v>78</v>
      </c>
      <c r="I144" s="7" t="n">
        <v>2015</v>
      </c>
      <c r="J144" s="7" t="n">
        <v>2021</v>
      </c>
      <c r="K144" s="4" t="s">
        <v>119</v>
      </c>
      <c r="L144" s="4" t="s">
        <v>1176</v>
      </c>
      <c r="M144" s="4" t="s">
        <v>1177</v>
      </c>
      <c r="N144" s="4" t="s">
        <v>1178</v>
      </c>
      <c r="O144" s="4" t="s">
        <v>1179</v>
      </c>
      <c r="P144" s="4" t="s">
        <v>52</v>
      </c>
    </row>
    <row r="145" customFormat="false" ht="15" hidden="false" customHeight="false" outlineLevel="0" collapsed="false">
      <c r="A145" s="4" t="s">
        <v>1180</v>
      </c>
      <c r="B145" s="4" t="s">
        <v>1181</v>
      </c>
      <c r="C145" s="4" t="s">
        <v>81</v>
      </c>
      <c r="D145" s="4" t="s">
        <v>66</v>
      </c>
      <c r="E145" s="9" t="n">
        <v>38319</v>
      </c>
      <c r="F145" s="4" t="s">
        <v>77</v>
      </c>
      <c r="G145" s="4" t="s">
        <v>17</v>
      </c>
      <c r="H145" s="4" t="s">
        <v>78</v>
      </c>
      <c r="I145" s="7" t="n">
        <v>2017</v>
      </c>
      <c r="J145" s="7" t="n">
        <v>2022</v>
      </c>
      <c r="K145" s="4" t="s">
        <v>1182</v>
      </c>
      <c r="L145" s="4" t="s">
        <v>1183</v>
      </c>
      <c r="M145" s="4" t="s">
        <v>1184</v>
      </c>
      <c r="N145" s="4" t="s">
        <v>1185</v>
      </c>
      <c r="O145" s="4" t="s">
        <v>1186</v>
      </c>
      <c r="P145" s="4" t="s">
        <v>52</v>
      </c>
    </row>
    <row r="146" customFormat="false" ht="15" hidden="false" customHeight="false" outlineLevel="0" collapsed="false">
      <c r="A146" s="4" t="s">
        <v>1187</v>
      </c>
      <c r="B146" s="4" t="s">
        <v>1188</v>
      </c>
      <c r="C146" s="4" t="s">
        <v>1189</v>
      </c>
      <c r="D146" s="4" t="s">
        <v>44</v>
      </c>
      <c r="E146" s="9" t="n">
        <v>38544</v>
      </c>
      <c r="F146" s="4" t="s">
        <v>142</v>
      </c>
      <c r="G146" s="4" t="s">
        <v>14</v>
      </c>
      <c r="H146" s="4" t="s">
        <v>78</v>
      </c>
      <c r="I146" s="7" t="n">
        <v>2018</v>
      </c>
      <c r="J146" s="7" t="n">
        <v>2023</v>
      </c>
      <c r="K146" s="4" t="s">
        <v>1190</v>
      </c>
      <c r="L146" s="4" t="s">
        <v>1191</v>
      </c>
      <c r="M146" s="4" t="s">
        <v>1192</v>
      </c>
      <c r="N146" s="4" t="s">
        <v>1193</v>
      </c>
      <c r="O146" s="4" t="s">
        <v>1194</v>
      </c>
      <c r="P146" s="4" t="s">
        <v>52</v>
      </c>
    </row>
    <row r="147" customFormat="false" ht="15" hidden="false" customHeight="false" outlineLevel="0" collapsed="false">
      <c r="A147" s="4" t="s">
        <v>1195</v>
      </c>
      <c r="B147" s="4" t="s">
        <v>1196</v>
      </c>
      <c r="C147" s="4" t="s">
        <v>1197</v>
      </c>
      <c r="D147" s="4" t="s">
        <v>66</v>
      </c>
      <c r="E147" s="9" t="n">
        <v>38195</v>
      </c>
      <c r="F147" s="4" t="s">
        <v>45</v>
      </c>
      <c r="G147" s="4" t="s">
        <v>14</v>
      </c>
      <c r="H147" s="4" t="s">
        <v>78</v>
      </c>
      <c r="I147" s="7" t="n">
        <v>2018</v>
      </c>
      <c r="J147" s="7" t="n">
        <v>2023</v>
      </c>
      <c r="K147" s="4" t="s">
        <v>1198</v>
      </c>
      <c r="L147" s="4" t="s">
        <v>1199</v>
      </c>
      <c r="M147" s="4" t="s">
        <v>1200</v>
      </c>
      <c r="N147" s="4" t="s">
        <v>1201</v>
      </c>
      <c r="O147" s="4" t="s">
        <v>1202</v>
      </c>
      <c r="P147" s="4" t="s">
        <v>52</v>
      </c>
    </row>
    <row r="148" customFormat="false" ht="15" hidden="false" customHeight="false" outlineLevel="0" collapsed="false">
      <c r="A148" s="4" t="s">
        <v>1203</v>
      </c>
      <c r="B148" s="4" t="s">
        <v>1204</v>
      </c>
      <c r="C148" s="4" t="s">
        <v>1205</v>
      </c>
      <c r="D148" s="4" t="s">
        <v>66</v>
      </c>
      <c r="E148" s="9" t="n">
        <v>37481</v>
      </c>
      <c r="F148" s="4" t="s">
        <v>56</v>
      </c>
      <c r="G148" s="4" t="s">
        <v>18</v>
      </c>
      <c r="H148" s="4" t="s">
        <v>78</v>
      </c>
      <c r="I148" s="7" t="n">
        <v>2016</v>
      </c>
      <c r="J148" s="7" t="n">
        <v>2021</v>
      </c>
      <c r="K148" s="4" t="s">
        <v>1206</v>
      </c>
      <c r="L148" s="4" t="s">
        <v>1207</v>
      </c>
      <c r="M148" s="4" t="s">
        <v>1208</v>
      </c>
      <c r="N148" s="4" t="s">
        <v>1209</v>
      </c>
      <c r="O148" s="4" t="s">
        <v>1210</v>
      </c>
      <c r="P148" s="4" t="s">
        <v>52</v>
      </c>
    </row>
    <row r="149" customFormat="false" ht="15" hidden="false" customHeight="false" outlineLevel="0" collapsed="false">
      <c r="A149" s="4" t="s">
        <v>1211</v>
      </c>
      <c r="B149" s="4" t="s">
        <v>1212</v>
      </c>
      <c r="C149" s="4" t="s">
        <v>1213</v>
      </c>
      <c r="D149" s="4" t="s">
        <v>44</v>
      </c>
      <c r="E149" s="9" t="n">
        <v>38592</v>
      </c>
      <c r="F149" s="4" t="s">
        <v>56</v>
      </c>
      <c r="G149" s="4" t="s">
        <v>14</v>
      </c>
      <c r="H149" s="4" t="s">
        <v>78</v>
      </c>
      <c r="I149" s="7" t="n">
        <v>2018</v>
      </c>
      <c r="J149" s="7" t="n">
        <v>2023</v>
      </c>
      <c r="K149" s="4" t="s">
        <v>1214</v>
      </c>
      <c r="L149" s="4" t="s">
        <v>1215</v>
      </c>
      <c r="M149" s="4" t="s">
        <v>1216</v>
      </c>
      <c r="N149" s="4" t="s">
        <v>1217</v>
      </c>
      <c r="O149" s="4" t="s">
        <v>1218</v>
      </c>
      <c r="P149" s="4" t="s">
        <v>52</v>
      </c>
    </row>
    <row r="150" customFormat="false" ht="15" hidden="false" customHeight="false" outlineLevel="0" collapsed="false">
      <c r="A150" s="4" t="s">
        <v>1219</v>
      </c>
      <c r="B150" s="4" t="s">
        <v>1220</v>
      </c>
      <c r="C150" s="4" t="s">
        <v>1221</v>
      </c>
      <c r="D150" s="4" t="s">
        <v>66</v>
      </c>
      <c r="E150" s="9" t="n">
        <v>37765</v>
      </c>
      <c r="F150" s="4" t="s">
        <v>77</v>
      </c>
      <c r="G150" s="4" t="s">
        <v>14</v>
      </c>
      <c r="H150" s="4" t="s">
        <v>67</v>
      </c>
      <c r="I150" s="7" t="n">
        <v>2017</v>
      </c>
      <c r="J150" s="7" t="n">
        <v>2022</v>
      </c>
      <c r="K150" s="4" t="s">
        <v>1222</v>
      </c>
      <c r="L150" s="4" t="s">
        <v>1223</v>
      </c>
      <c r="M150" s="4" t="s">
        <v>1224</v>
      </c>
      <c r="N150" s="4" t="s">
        <v>1225</v>
      </c>
      <c r="O150" s="4" t="s">
        <v>1226</v>
      </c>
      <c r="P150" s="4" t="s">
        <v>52</v>
      </c>
    </row>
    <row r="151" customFormat="false" ht="15" hidden="false" customHeight="false" outlineLevel="0" collapsed="false">
      <c r="A151" s="4" t="s">
        <v>1227</v>
      </c>
      <c r="B151" s="4" t="s">
        <v>1228</v>
      </c>
      <c r="C151" s="4" t="s">
        <v>1229</v>
      </c>
      <c r="D151" s="4" t="s">
        <v>66</v>
      </c>
      <c r="E151" s="9" t="n">
        <v>38028</v>
      </c>
      <c r="F151" s="4" t="s">
        <v>56</v>
      </c>
      <c r="G151" s="4" t="s">
        <v>15</v>
      </c>
      <c r="H151" s="4" t="s">
        <v>78</v>
      </c>
      <c r="I151" s="7" t="n">
        <v>2017</v>
      </c>
      <c r="J151" s="7" t="n">
        <v>2022</v>
      </c>
      <c r="K151" s="4" t="s">
        <v>1230</v>
      </c>
      <c r="L151" s="4" t="s">
        <v>1231</v>
      </c>
      <c r="M151" s="4" t="s">
        <v>1232</v>
      </c>
      <c r="N151" s="4" t="s">
        <v>1233</v>
      </c>
      <c r="O151" s="4" t="s">
        <v>1234</v>
      </c>
      <c r="P151" s="4" t="s">
        <v>52</v>
      </c>
    </row>
    <row r="152" customFormat="false" ht="15" hidden="false" customHeight="false" outlineLevel="0" collapsed="false">
      <c r="A152" s="4" t="s">
        <v>1235</v>
      </c>
      <c r="B152" s="4" t="s">
        <v>1236</v>
      </c>
      <c r="C152" s="4" t="s">
        <v>1237</v>
      </c>
      <c r="D152" s="4" t="s">
        <v>66</v>
      </c>
      <c r="E152" s="9" t="n">
        <v>39377</v>
      </c>
      <c r="F152" s="4" t="s">
        <v>45</v>
      </c>
      <c r="G152" s="4" t="s">
        <v>18</v>
      </c>
      <c r="H152" s="4" t="s">
        <v>57</v>
      </c>
      <c r="I152" s="7" t="n">
        <v>2020</v>
      </c>
      <c r="J152" s="7" t="n">
        <v>2025</v>
      </c>
      <c r="K152" s="4" t="s">
        <v>1238</v>
      </c>
      <c r="L152" s="4" t="s">
        <v>1239</v>
      </c>
      <c r="M152" s="4" t="s">
        <v>1240</v>
      </c>
      <c r="N152" s="4" t="s">
        <v>1241</v>
      </c>
      <c r="O152" s="4" t="s">
        <v>1242</v>
      </c>
      <c r="P152" s="4" t="s">
        <v>73</v>
      </c>
    </row>
    <row r="153" customFormat="false" ht="15" hidden="false" customHeight="false" outlineLevel="0" collapsed="false">
      <c r="A153" s="4" t="s">
        <v>1243</v>
      </c>
      <c r="B153" s="4" t="s">
        <v>1244</v>
      </c>
      <c r="C153" s="4" t="s">
        <v>1245</v>
      </c>
      <c r="D153" s="4" t="s">
        <v>44</v>
      </c>
      <c r="E153" s="9" t="n">
        <v>37328</v>
      </c>
      <c r="F153" s="4" t="s">
        <v>77</v>
      </c>
      <c r="G153" s="4" t="s">
        <v>16</v>
      </c>
      <c r="H153" s="4" t="s">
        <v>67</v>
      </c>
      <c r="I153" s="7" t="n">
        <v>2015</v>
      </c>
      <c r="J153" s="7" t="n">
        <v>2021</v>
      </c>
      <c r="K153" s="4" t="s">
        <v>1246</v>
      </c>
      <c r="L153" s="4" t="s">
        <v>1247</v>
      </c>
      <c r="M153" s="4" t="s">
        <v>1248</v>
      </c>
      <c r="N153" s="4" t="s">
        <v>1249</v>
      </c>
      <c r="O153" s="4" t="s">
        <v>1250</v>
      </c>
      <c r="P153" s="4" t="s">
        <v>52</v>
      </c>
    </row>
    <row r="154" customFormat="false" ht="15" hidden="false" customHeight="false" outlineLevel="0" collapsed="false">
      <c r="A154" s="4" t="s">
        <v>1251</v>
      </c>
      <c r="B154" s="4" t="s">
        <v>1252</v>
      </c>
      <c r="C154" s="4" t="s">
        <v>1253</v>
      </c>
      <c r="D154" s="4" t="s">
        <v>44</v>
      </c>
      <c r="E154" s="9" t="n">
        <v>38126</v>
      </c>
      <c r="F154" s="4" t="s">
        <v>45</v>
      </c>
      <c r="G154" s="4" t="s">
        <v>14</v>
      </c>
      <c r="H154" s="4" t="s">
        <v>67</v>
      </c>
      <c r="I154" s="7" t="n">
        <v>2017</v>
      </c>
      <c r="J154" s="7" t="n">
        <v>2022</v>
      </c>
      <c r="K154" s="4" t="s">
        <v>1254</v>
      </c>
      <c r="L154" s="4" t="s">
        <v>1255</v>
      </c>
      <c r="M154" s="4" t="s">
        <v>1256</v>
      </c>
      <c r="N154" s="4" t="s">
        <v>1257</v>
      </c>
      <c r="O154" s="4" t="s">
        <v>1258</v>
      </c>
      <c r="P154" s="4" t="s">
        <v>52</v>
      </c>
    </row>
    <row r="155" customFormat="false" ht="15" hidden="false" customHeight="false" outlineLevel="0" collapsed="false">
      <c r="A155" s="4" t="s">
        <v>1259</v>
      </c>
      <c r="B155" s="4" t="s">
        <v>1260</v>
      </c>
      <c r="C155" s="4" t="s">
        <v>1261</v>
      </c>
      <c r="D155" s="4" t="s">
        <v>44</v>
      </c>
      <c r="E155" s="9" t="n">
        <v>37336</v>
      </c>
      <c r="F155" s="4" t="s">
        <v>142</v>
      </c>
      <c r="G155" s="4" t="s">
        <v>16</v>
      </c>
      <c r="H155" s="4" t="s">
        <v>78</v>
      </c>
      <c r="I155" s="7" t="n">
        <v>2015</v>
      </c>
      <c r="J155" s="7" t="n">
        <v>2021</v>
      </c>
      <c r="K155" s="4" t="s">
        <v>1262</v>
      </c>
      <c r="L155" s="4" t="s">
        <v>1263</v>
      </c>
      <c r="M155" s="4" t="s">
        <v>1264</v>
      </c>
      <c r="N155" s="4" t="s">
        <v>1265</v>
      </c>
      <c r="O155" s="4" t="s">
        <v>1266</v>
      </c>
      <c r="P155" s="4" t="s">
        <v>52</v>
      </c>
    </row>
    <row r="156" customFormat="false" ht="15" hidden="false" customHeight="false" outlineLevel="0" collapsed="false">
      <c r="A156" s="4" t="s">
        <v>1267</v>
      </c>
      <c r="B156" s="4" t="s">
        <v>1268</v>
      </c>
      <c r="C156" s="4" t="s">
        <v>1269</v>
      </c>
      <c r="D156" s="4" t="s">
        <v>66</v>
      </c>
      <c r="E156" s="9" t="n">
        <v>37588</v>
      </c>
      <c r="F156" s="4" t="s">
        <v>56</v>
      </c>
      <c r="G156" s="4" t="s">
        <v>17</v>
      </c>
      <c r="H156" s="4" t="s">
        <v>67</v>
      </c>
      <c r="I156" s="7" t="n">
        <v>2015</v>
      </c>
      <c r="J156" s="7" t="n">
        <v>2021</v>
      </c>
      <c r="K156" s="4" t="s">
        <v>1270</v>
      </c>
      <c r="L156" s="4" t="s">
        <v>1271</v>
      </c>
      <c r="M156" s="4" t="s">
        <v>1272</v>
      </c>
      <c r="N156" s="4" t="s">
        <v>1273</v>
      </c>
      <c r="O156" s="4" t="s">
        <v>1274</v>
      </c>
      <c r="P156" s="4" t="s">
        <v>52</v>
      </c>
    </row>
    <row r="157" customFormat="false" ht="15" hidden="false" customHeight="false" outlineLevel="0" collapsed="false">
      <c r="A157" s="4" t="s">
        <v>1275</v>
      </c>
      <c r="B157" s="4" t="s">
        <v>1276</v>
      </c>
      <c r="C157" s="4" t="s">
        <v>1277</v>
      </c>
      <c r="D157" s="4" t="s">
        <v>66</v>
      </c>
      <c r="E157" s="9" t="n">
        <v>38632</v>
      </c>
      <c r="F157" s="4" t="s">
        <v>142</v>
      </c>
      <c r="G157" s="4" t="s">
        <v>17</v>
      </c>
      <c r="H157" s="4" t="s">
        <v>57</v>
      </c>
      <c r="I157" s="7" t="n">
        <v>2018</v>
      </c>
      <c r="J157" s="7" t="n">
        <v>2024</v>
      </c>
      <c r="K157" s="4" t="s">
        <v>1278</v>
      </c>
      <c r="L157" s="4" t="s">
        <v>1279</v>
      </c>
      <c r="M157" s="4" t="s">
        <v>216</v>
      </c>
      <c r="N157" s="4" t="s">
        <v>1280</v>
      </c>
      <c r="O157" s="4" t="s">
        <v>1281</v>
      </c>
      <c r="P157" s="4" t="s">
        <v>52</v>
      </c>
    </row>
    <row r="158" customFormat="false" ht="15" hidden="false" customHeight="false" outlineLevel="0" collapsed="false">
      <c r="A158" s="4" t="s">
        <v>1282</v>
      </c>
      <c r="B158" s="4" t="s">
        <v>1283</v>
      </c>
      <c r="C158" s="4" t="s">
        <v>1284</v>
      </c>
      <c r="D158" s="4" t="s">
        <v>44</v>
      </c>
      <c r="E158" s="9" t="n">
        <v>38336</v>
      </c>
      <c r="F158" s="4" t="s">
        <v>77</v>
      </c>
      <c r="G158" s="4" t="s">
        <v>17</v>
      </c>
      <c r="H158" s="4" t="s">
        <v>78</v>
      </c>
      <c r="I158" s="7" t="n">
        <v>2016</v>
      </c>
      <c r="J158" s="7" t="n">
        <v>2022</v>
      </c>
      <c r="K158" s="4" t="s">
        <v>1285</v>
      </c>
      <c r="L158" s="4" t="s">
        <v>1286</v>
      </c>
      <c r="M158" s="4" t="s">
        <v>365</v>
      </c>
      <c r="N158" s="4" t="s">
        <v>1287</v>
      </c>
      <c r="O158" s="4" t="s">
        <v>1288</v>
      </c>
      <c r="P158" s="4" t="s">
        <v>52</v>
      </c>
    </row>
    <row r="159" customFormat="false" ht="15" hidden="false" customHeight="false" outlineLevel="0" collapsed="false">
      <c r="A159" s="4" t="s">
        <v>1289</v>
      </c>
      <c r="B159" s="4" t="s">
        <v>1290</v>
      </c>
      <c r="C159" s="4" t="s">
        <v>1291</v>
      </c>
      <c r="D159" s="4" t="s">
        <v>66</v>
      </c>
      <c r="E159" s="9" t="n">
        <v>39440</v>
      </c>
      <c r="F159" s="4" t="s">
        <v>56</v>
      </c>
      <c r="G159" s="4" t="s">
        <v>15</v>
      </c>
      <c r="H159" s="4" t="s">
        <v>57</v>
      </c>
      <c r="I159" s="7" t="n">
        <v>2019</v>
      </c>
      <c r="J159" s="7" t="n">
        <v>2025</v>
      </c>
      <c r="K159" s="4" t="s">
        <v>1292</v>
      </c>
      <c r="L159" s="4" t="s">
        <v>1293</v>
      </c>
      <c r="M159" s="4" t="s">
        <v>1294</v>
      </c>
      <c r="N159" s="4" t="s">
        <v>1295</v>
      </c>
      <c r="O159" s="4" t="s">
        <v>1296</v>
      </c>
      <c r="P159" s="4" t="s">
        <v>52</v>
      </c>
    </row>
    <row r="160" customFormat="false" ht="15" hidden="false" customHeight="false" outlineLevel="0" collapsed="false">
      <c r="A160" s="4" t="s">
        <v>1297</v>
      </c>
      <c r="B160" s="4" t="s">
        <v>1298</v>
      </c>
      <c r="C160" s="4" t="s">
        <v>1299</v>
      </c>
      <c r="D160" s="4" t="s">
        <v>44</v>
      </c>
      <c r="E160" s="9" t="n">
        <v>39014</v>
      </c>
      <c r="F160" s="4" t="s">
        <v>77</v>
      </c>
      <c r="G160" s="4" t="s">
        <v>15</v>
      </c>
      <c r="H160" s="4" t="s">
        <v>57</v>
      </c>
      <c r="I160" s="7" t="n">
        <v>2019</v>
      </c>
      <c r="J160" s="7" t="n">
        <v>2024</v>
      </c>
      <c r="K160" s="4" t="s">
        <v>1300</v>
      </c>
      <c r="L160" s="4" t="s">
        <v>1301</v>
      </c>
      <c r="M160" s="4" t="s">
        <v>1302</v>
      </c>
      <c r="N160" s="4" t="s">
        <v>1303</v>
      </c>
      <c r="O160" s="4" t="s">
        <v>1304</v>
      </c>
      <c r="P160" s="4" t="s">
        <v>52</v>
      </c>
    </row>
    <row r="161" customFormat="false" ht="15" hidden="false" customHeight="false" outlineLevel="0" collapsed="false">
      <c r="A161" s="4" t="s">
        <v>1305</v>
      </c>
      <c r="B161" s="4" t="s">
        <v>1306</v>
      </c>
      <c r="C161" s="4" t="s">
        <v>1307</v>
      </c>
      <c r="D161" s="4" t="s">
        <v>44</v>
      </c>
      <c r="E161" s="9" t="n">
        <v>37962</v>
      </c>
      <c r="F161" s="4" t="s">
        <v>77</v>
      </c>
      <c r="G161" s="4" t="s">
        <v>14</v>
      </c>
      <c r="H161" s="4" t="s">
        <v>78</v>
      </c>
      <c r="I161" s="7" t="n">
        <v>2016</v>
      </c>
      <c r="J161" s="7" t="n">
        <v>2022</v>
      </c>
      <c r="K161" s="4" t="s">
        <v>1308</v>
      </c>
      <c r="L161" s="4" t="s">
        <v>1309</v>
      </c>
      <c r="M161" s="4" t="s">
        <v>1310</v>
      </c>
      <c r="N161" s="4" t="s">
        <v>1311</v>
      </c>
      <c r="O161" s="4" t="s">
        <v>1312</v>
      </c>
      <c r="P161" s="4" t="s">
        <v>52</v>
      </c>
    </row>
    <row r="162" customFormat="false" ht="15" hidden="false" customHeight="false" outlineLevel="0" collapsed="false">
      <c r="A162" s="4" t="s">
        <v>1313</v>
      </c>
      <c r="B162" s="4" t="s">
        <v>1314</v>
      </c>
      <c r="C162" s="4" t="s">
        <v>1315</v>
      </c>
      <c r="D162" s="4" t="s">
        <v>66</v>
      </c>
      <c r="E162" s="9" t="n">
        <v>39259</v>
      </c>
      <c r="F162" s="4" t="s">
        <v>77</v>
      </c>
      <c r="G162" s="4" t="s">
        <v>17</v>
      </c>
      <c r="H162" s="4" t="s">
        <v>57</v>
      </c>
      <c r="I162" s="7" t="n">
        <v>2019</v>
      </c>
      <c r="J162" s="7" t="n">
        <v>2025</v>
      </c>
      <c r="K162" s="4" t="s">
        <v>1316</v>
      </c>
      <c r="L162" s="4" t="s">
        <v>1317</v>
      </c>
      <c r="M162" s="4" t="s">
        <v>1318</v>
      </c>
      <c r="N162" s="4" t="s">
        <v>1319</v>
      </c>
      <c r="O162" s="4" t="s">
        <v>1320</v>
      </c>
      <c r="P162" s="4" t="s">
        <v>73</v>
      </c>
    </row>
    <row r="163" customFormat="false" ht="15" hidden="false" customHeight="false" outlineLevel="0" collapsed="false">
      <c r="A163" s="4" t="s">
        <v>1321</v>
      </c>
      <c r="B163" s="4" t="s">
        <v>1322</v>
      </c>
      <c r="C163" s="4" t="s">
        <v>1323</v>
      </c>
      <c r="D163" s="4" t="s">
        <v>44</v>
      </c>
      <c r="E163" s="9" t="n">
        <v>38592</v>
      </c>
      <c r="F163" s="4" t="s">
        <v>142</v>
      </c>
      <c r="G163" s="4" t="s">
        <v>15</v>
      </c>
      <c r="H163" s="4" t="s">
        <v>67</v>
      </c>
      <c r="I163" s="7" t="n">
        <v>2019</v>
      </c>
      <c r="J163" s="7" t="n">
        <v>2024</v>
      </c>
      <c r="K163" s="4" t="s">
        <v>1324</v>
      </c>
      <c r="L163" s="4" t="s">
        <v>1325</v>
      </c>
      <c r="M163" s="4" t="s">
        <v>1326</v>
      </c>
      <c r="N163" s="4" t="s">
        <v>1327</v>
      </c>
      <c r="O163" s="4" t="s">
        <v>1328</v>
      </c>
      <c r="P163" s="4" t="s">
        <v>52</v>
      </c>
    </row>
    <row r="164" customFormat="false" ht="15" hidden="false" customHeight="false" outlineLevel="0" collapsed="false">
      <c r="A164" s="4" t="s">
        <v>1329</v>
      </c>
      <c r="B164" s="4" t="s">
        <v>1330</v>
      </c>
      <c r="C164" s="4" t="s">
        <v>1331</v>
      </c>
      <c r="D164" s="4" t="s">
        <v>44</v>
      </c>
      <c r="E164" s="9" t="n">
        <v>38609</v>
      </c>
      <c r="F164" s="4" t="s">
        <v>77</v>
      </c>
      <c r="G164" s="4" t="s">
        <v>14</v>
      </c>
      <c r="H164" s="4" t="s">
        <v>67</v>
      </c>
      <c r="I164" s="7" t="n">
        <v>2018</v>
      </c>
      <c r="J164" s="7" t="n">
        <v>2023</v>
      </c>
      <c r="K164" s="4" t="s">
        <v>1332</v>
      </c>
      <c r="L164" s="4" t="s">
        <v>1333</v>
      </c>
      <c r="M164" s="4" t="s">
        <v>1334</v>
      </c>
      <c r="N164" s="4" t="s">
        <v>1335</v>
      </c>
      <c r="O164" s="4" t="s">
        <v>1336</v>
      </c>
      <c r="P164" s="4" t="s">
        <v>52</v>
      </c>
    </row>
    <row r="165" customFormat="false" ht="15" hidden="false" customHeight="false" outlineLevel="0" collapsed="false">
      <c r="A165" s="4" t="s">
        <v>1337</v>
      </c>
      <c r="B165" s="4" t="s">
        <v>1338</v>
      </c>
      <c r="C165" s="4" t="s">
        <v>1339</v>
      </c>
      <c r="D165" s="4" t="s">
        <v>66</v>
      </c>
      <c r="E165" s="9" t="n">
        <v>38840</v>
      </c>
      <c r="F165" s="4" t="s">
        <v>77</v>
      </c>
      <c r="G165" s="4" t="s">
        <v>14</v>
      </c>
      <c r="H165" s="4" t="s">
        <v>78</v>
      </c>
      <c r="I165" s="7" t="n">
        <v>2019</v>
      </c>
      <c r="J165" s="7" t="n">
        <v>2025</v>
      </c>
      <c r="K165" s="4" t="s">
        <v>1340</v>
      </c>
      <c r="L165" s="4" t="s">
        <v>1341</v>
      </c>
      <c r="M165" s="4" t="s">
        <v>1237</v>
      </c>
      <c r="N165" s="4" t="s">
        <v>1342</v>
      </c>
      <c r="O165" s="4" t="s">
        <v>1343</v>
      </c>
      <c r="P165" s="4" t="s">
        <v>73</v>
      </c>
    </row>
    <row r="166" customFormat="false" ht="15" hidden="false" customHeight="false" outlineLevel="0" collapsed="false">
      <c r="A166" s="4" t="s">
        <v>1344</v>
      </c>
      <c r="B166" s="4" t="s">
        <v>1345</v>
      </c>
      <c r="C166" s="4" t="s">
        <v>1346</v>
      </c>
      <c r="D166" s="4" t="s">
        <v>44</v>
      </c>
      <c r="E166" s="9" t="n">
        <v>38822</v>
      </c>
      <c r="F166" s="4" t="s">
        <v>56</v>
      </c>
      <c r="G166" s="4" t="s">
        <v>17</v>
      </c>
      <c r="H166" s="4" t="s">
        <v>78</v>
      </c>
      <c r="I166" s="7" t="n">
        <v>2019</v>
      </c>
      <c r="J166" s="7" t="n">
        <v>2024</v>
      </c>
      <c r="K166" s="4" t="s">
        <v>1347</v>
      </c>
      <c r="L166" s="4" t="s">
        <v>1348</v>
      </c>
      <c r="M166" s="4" t="s">
        <v>1349</v>
      </c>
      <c r="N166" s="4" t="s">
        <v>1350</v>
      </c>
      <c r="O166" s="4" t="s">
        <v>1351</v>
      </c>
      <c r="P166" s="4" t="s">
        <v>52</v>
      </c>
    </row>
    <row r="167" customFormat="false" ht="15" hidden="false" customHeight="false" outlineLevel="0" collapsed="false">
      <c r="A167" s="4" t="s">
        <v>1352</v>
      </c>
      <c r="B167" s="4" t="s">
        <v>1353</v>
      </c>
      <c r="C167" s="4" t="s">
        <v>1354</v>
      </c>
      <c r="D167" s="4" t="s">
        <v>44</v>
      </c>
      <c r="E167" s="9" t="n">
        <v>38542</v>
      </c>
      <c r="F167" s="4" t="s">
        <v>142</v>
      </c>
      <c r="G167" s="4" t="s">
        <v>16</v>
      </c>
      <c r="H167" s="4" t="s">
        <v>78</v>
      </c>
      <c r="I167" s="7" t="n">
        <v>2018</v>
      </c>
      <c r="J167" s="7" t="n">
        <v>2023</v>
      </c>
      <c r="K167" s="4" t="s">
        <v>1355</v>
      </c>
      <c r="L167" s="4" t="s">
        <v>1356</v>
      </c>
      <c r="M167" s="4" t="s">
        <v>1357</v>
      </c>
      <c r="N167" s="4" t="s">
        <v>1358</v>
      </c>
      <c r="O167" s="4" t="s">
        <v>1359</v>
      </c>
      <c r="P167" s="4" t="s">
        <v>52</v>
      </c>
    </row>
    <row r="168" customFormat="false" ht="15" hidden="false" customHeight="false" outlineLevel="0" collapsed="false">
      <c r="A168" s="4" t="s">
        <v>1360</v>
      </c>
      <c r="B168" s="4" t="s">
        <v>1361</v>
      </c>
      <c r="C168" s="4" t="s">
        <v>1269</v>
      </c>
      <c r="D168" s="4" t="s">
        <v>66</v>
      </c>
      <c r="E168" s="9" t="n">
        <v>38773</v>
      </c>
      <c r="F168" s="4" t="s">
        <v>142</v>
      </c>
      <c r="G168" s="4" t="s">
        <v>14</v>
      </c>
      <c r="H168" s="4" t="s">
        <v>67</v>
      </c>
      <c r="I168" s="7" t="n">
        <v>2019</v>
      </c>
      <c r="J168" s="7" t="n">
        <v>2025</v>
      </c>
      <c r="K168" s="4" t="s">
        <v>1362</v>
      </c>
      <c r="L168" s="4" t="s">
        <v>1363</v>
      </c>
      <c r="M168" s="4" t="s">
        <v>1364</v>
      </c>
      <c r="N168" s="4" t="s">
        <v>1365</v>
      </c>
      <c r="O168" s="4" t="s">
        <v>1366</v>
      </c>
      <c r="P168" s="4" t="s">
        <v>73</v>
      </c>
    </row>
    <row r="169" customFormat="false" ht="15" hidden="false" customHeight="false" outlineLevel="0" collapsed="false">
      <c r="A169" s="4" t="s">
        <v>1367</v>
      </c>
      <c r="B169" s="4" t="s">
        <v>1368</v>
      </c>
      <c r="C169" s="4" t="s">
        <v>1369</v>
      </c>
      <c r="D169" s="4" t="s">
        <v>44</v>
      </c>
      <c r="E169" s="9" t="n">
        <v>38995</v>
      </c>
      <c r="F169" s="4" t="s">
        <v>142</v>
      </c>
      <c r="G169" s="4" t="s">
        <v>15</v>
      </c>
      <c r="H169" s="4" t="s">
        <v>57</v>
      </c>
      <c r="I169" s="7" t="n">
        <v>2019</v>
      </c>
      <c r="J169" s="7" t="n">
        <v>2025</v>
      </c>
      <c r="K169" s="4" t="s">
        <v>1370</v>
      </c>
      <c r="L169" s="4" t="s">
        <v>1371</v>
      </c>
      <c r="M169" s="4" t="s">
        <v>1372</v>
      </c>
      <c r="N169" s="4" t="s">
        <v>1373</v>
      </c>
      <c r="O169" s="4" t="s">
        <v>1374</v>
      </c>
      <c r="P169" s="4" t="s">
        <v>52</v>
      </c>
    </row>
    <row r="170" customFormat="false" ht="15" hidden="false" customHeight="false" outlineLevel="0" collapsed="false">
      <c r="A170" s="4" t="s">
        <v>1375</v>
      </c>
      <c r="B170" s="4" t="s">
        <v>1376</v>
      </c>
      <c r="C170" s="4" t="s">
        <v>1377</v>
      </c>
      <c r="D170" s="4" t="s">
        <v>66</v>
      </c>
      <c r="E170" s="9" t="n">
        <v>39274</v>
      </c>
      <c r="F170" s="4" t="s">
        <v>45</v>
      </c>
      <c r="G170" s="4" t="s">
        <v>15</v>
      </c>
      <c r="H170" s="4" t="s">
        <v>46</v>
      </c>
      <c r="I170" s="7" t="n">
        <v>2020</v>
      </c>
      <c r="J170" s="7" t="n">
        <v>2025</v>
      </c>
      <c r="K170" s="4" t="s">
        <v>1378</v>
      </c>
      <c r="L170" s="4" t="s">
        <v>1379</v>
      </c>
      <c r="M170" s="4" t="s">
        <v>1380</v>
      </c>
      <c r="N170" s="4" t="s">
        <v>1381</v>
      </c>
      <c r="O170" s="4" t="s">
        <v>1382</v>
      </c>
      <c r="P170" s="4" t="s">
        <v>52</v>
      </c>
    </row>
    <row r="171" customFormat="false" ht="15" hidden="false" customHeight="false" outlineLevel="0" collapsed="false">
      <c r="A171" s="4" t="s">
        <v>1383</v>
      </c>
      <c r="B171" s="4" t="s">
        <v>1384</v>
      </c>
      <c r="C171" s="4" t="s">
        <v>1385</v>
      </c>
      <c r="D171" s="4" t="s">
        <v>44</v>
      </c>
      <c r="E171" s="9" t="n">
        <v>37458</v>
      </c>
      <c r="F171" s="4" t="s">
        <v>56</v>
      </c>
      <c r="G171" s="4" t="s">
        <v>18</v>
      </c>
      <c r="H171" s="4" t="s">
        <v>46</v>
      </c>
      <c r="I171" s="7" t="n">
        <v>2016</v>
      </c>
      <c r="J171" s="7" t="n">
        <v>2021</v>
      </c>
      <c r="K171" s="4" t="s">
        <v>1386</v>
      </c>
      <c r="L171" s="4" t="s">
        <v>1387</v>
      </c>
      <c r="M171" s="4" t="s">
        <v>1388</v>
      </c>
      <c r="N171" s="4" t="s">
        <v>1389</v>
      </c>
      <c r="O171" s="4" t="s">
        <v>1390</v>
      </c>
      <c r="P171" s="4" t="s">
        <v>52</v>
      </c>
    </row>
    <row r="172" customFormat="false" ht="15" hidden="false" customHeight="false" outlineLevel="0" collapsed="false">
      <c r="A172" s="4" t="s">
        <v>1391</v>
      </c>
      <c r="B172" s="4" t="s">
        <v>1392</v>
      </c>
      <c r="C172" s="4" t="s">
        <v>1393</v>
      </c>
      <c r="D172" s="4" t="s">
        <v>44</v>
      </c>
      <c r="E172" s="9" t="n">
        <v>38793</v>
      </c>
      <c r="F172" s="4" t="s">
        <v>56</v>
      </c>
      <c r="G172" s="4" t="s">
        <v>17</v>
      </c>
      <c r="H172" s="4" t="s">
        <v>46</v>
      </c>
      <c r="I172" s="7" t="n">
        <v>2019</v>
      </c>
      <c r="J172" s="7" t="n">
        <v>2025</v>
      </c>
      <c r="K172" s="4" t="s">
        <v>1394</v>
      </c>
      <c r="L172" s="4" t="s">
        <v>1395</v>
      </c>
      <c r="M172" s="4" t="s">
        <v>777</v>
      </c>
      <c r="N172" s="4" t="s">
        <v>1396</v>
      </c>
      <c r="O172" s="4" t="s">
        <v>1397</v>
      </c>
      <c r="P172" s="4" t="s">
        <v>73</v>
      </c>
    </row>
    <row r="173" customFormat="false" ht="15" hidden="false" customHeight="false" outlineLevel="0" collapsed="false">
      <c r="A173" s="4" t="s">
        <v>1398</v>
      </c>
      <c r="B173" s="4" t="s">
        <v>1399</v>
      </c>
      <c r="C173" s="4" t="s">
        <v>1400</v>
      </c>
      <c r="D173" s="4" t="s">
        <v>66</v>
      </c>
      <c r="E173" s="9" t="n">
        <v>38894</v>
      </c>
      <c r="F173" s="4" t="s">
        <v>45</v>
      </c>
      <c r="G173" s="4" t="s">
        <v>15</v>
      </c>
      <c r="H173" s="4" t="s">
        <v>57</v>
      </c>
      <c r="I173" s="7" t="n">
        <v>2018</v>
      </c>
      <c r="J173" s="7" t="n">
        <v>2024</v>
      </c>
      <c r="K173" s="4" t="s">
        <v>1401</v>
      </c>
      <c r="L173" s="4" t="s">
        <v>1402</v>
      </c>
      <c r="M173" s="4" t="s">
        <v>1403</v>
      </c>
      <c r="N173" s="4" t="s">
        <v>1404</v>
      </c>
      <c r="O173" s="4" t="s">
        <v>1405</v>
      </c>
      <c r="P173" s="4" t="s">
        <v>52</v>
      </c>
    </row>
    <row r="174" customFormat="false" ht="15" hidden="false" customHeight="false" outlineLevel="0" collapsed="false">
      <c r="A174" s="4" t="s">
        <v>1406</v>
      </c>
      <c r="B174" s="4" t="s">
        <v>1407</v>
      </c>
      <c r="C174" s="4" t="s">
        <v>1408</v>
      </c>
      <c r="D174" s="4" t="s">
        <v>44</v>
      </c>
      <c r="E174" s="9" t="n">
        <v>37841</v>
      </c>
      <c r="F174" s="4" t="s">
        <v>56</v>
      </c>
      <c r="G174" s="4" t="s">
        <v>17</v>
      </c>
      <c r="H174" s="4" t="s">
        <v>67</v>
      </c>
      <c r="I174" s="7" t="n">
        <v>2016</v>
      </c>
      <c r="J174" s="7" t="n">
        <v>2022</v>
      </c>
      <c r="K174" s="4" t="s">
        <v>1409</v>
      </c>
      <c r="L174" s="4" t="s">
        <v>1410</v>
      </c>
      <c r="M174" s="4" t="s">
        <v>1411</v>
      </c>
      <c r="N174" s="4" t="s">
        <v>1412</v>
      </c>
      <c r="O174" s="4" t="s">
        <v>1413</v>
      </c>
      <c r="P174" s="4" t="s">
        <v>52</v>
      </c>
    </row>
    <row r="175" customFormat="false" ht="15" hidden="false" customHeight="false" outlineLevel="0" collapsed="false">
      <c r="A175" s="4" t="s">
        <v>1414</v>
      </c>
      <c r="B175" s="4" t="s">
        <v>1415</v>
      </c>
      <c r="C175" s="4" t="s">
        <v>954</v>
      </c>
      <c r="D175" s="4" t="s">
        <v>44</v>
      </c>
      <c r="E175" s="9" t="n">
        <v>37748</v>
      </c>
      <c r="F175" s="4" t="s">
        <v>45</v>
      </c>
      <c r="G175" s="4" t="s">
        <v>16</v>
      </c>
      <c r="H175" s="4" t="s">
        <v>46</v>
      </c>
      <c r="I175" s="7" t="n">
        <v>2016</v>
      </c>
      <c r="J175" s="7" t="n">
        <v>2021</v>
      </c>
      <c r="K175" s="4" t="s">
        <v>1416</v>
      </c>
      <c r="L175" s="4" t="s">
        <v>1417</v>
      </c>
      <c r="M175" s="4" t="s">
        <v>1418</v>
      </c>
      <c r="N175" s="4" t="s">
        <v>1419</v>
      </c>
      <c r="O175" s="4" t="s">
        <v>1420</v>
      </c>
      <c r="P175" s="4" t="s">
        <v>52</v>
      </c>
    </row>
    <row r="176" customFormat="false" ht="15" hidden="false" customHeight="false" outlineLevel="0" collapsed="false">
      <c r="A176" s="4" t="s">
        <v>1421</v>
      </c>
      <c r="B176" s="4" t="s">
        <v>1422</v>
      </c>
      <c r="C176" s="4" t="s">
        <v>1423</v>
      </c>
      <c r="D176" s="4" t="s">
        <v>44</v>
      </c>
      <c r="E176" s="9" t="n">
        <v>39078</v>
      </c>
      <c r="F176" s="4" t="s">
        <v>77</v>
      </c>
      <c r="G176" s="4" t="s">
        <v>16</v>
      </c>
      <c r="H176" s="4" t="s">
        <v>46</v>
      </c>
      <c r="I176" s="7" t="n">
        <v>2018</v>
      </c>
      <c r="J176" s="7" t="n">
        <v>2024</v>
      </c>
      <c r="K176" s="4" t="s">
        <v>1424</v>
      </c>
      <c r="L176" s="4" t="s">
        <v>1425</v>
      </c>
      <c r="M176" s="4" t="s">
        <v>1426</v>
      </c>
      <c r="N176" s="4" t="s">
        <v>1427</v>
      </c>
      <c r="O176" s="4" t="s">
        <v>1428</v>
      </c>
      <c r="P176" s="4" t="s">
        <v>52</v>
      </c>
    </row>
    <row r="177" customFormat="false" ht="15" hidden="false" customHeight="false" outlineLevel="0" collapsed="false">
      <c r="A177" s="4" t="s">
        <v>1429</v>
      </c>
      <c r="B177" s="4" t="s">
        <v>1430</v>
      </c>
      <c r="C177" s="4" t="s">
        <v>1431</v>
      </c>
      <c r="D177" s="4" t="s">
        <v>66</v>
      </c>
      <c r="E177" s="9" t="n">
        <v>37380</v>
      </c>
      <c r="F177" s="4" t="s">
        <v>142</v>
      </c>
      <c r="G177" s="4" t="s">
        <v>16</v>
      </c>
      <c r="H177" s="4" t="s">
        <v>46</v>
      </c>
      <c r="I177" s="7" t="n">
        <v>2016</v>
      </c>
      <c r="J177" s="7" t="n">
        <v>2021</v>
      </c>
      <c r="K177" s="4" t="s">
        <v>1432</v>
      </c>
      <c r="L177" s="4" t="s">
        <v>1433</v>
      </c>
      <c r="M177" s="4" t="s">
        <v>1434</v>
      </c>
      <c r="N177" s="4" t="s">
        <v>1435</v>
      </c>
      <c r="O177" s="4" t="s">
        <v>1436</v>
      </c>
      <c r="P177" s="4" t="s">
        <v>52</v>
      </c>
    </row>
    <row r="178" customFormat="false" ht="15" hidden="false" customHeight="false" outlineLevel="0" collapsed="false">
      <c r="A178" s="4" t="s">
        <v>1437</v>
      </c>
      <c r="B178" s="4" t="s">
        <v>1438</v>
      </c>
      <c r="C178" s="4" t="s">
        <v>205</v>
      </c>
      <c r="D178" s="4" t="s">
        <v>66</v>
      </c>
      <c r="E178" s="9" t="n">
        <v>38080</v>
      </c>
      <c r="F178" s="4" t="s">
        <v>45</v>
      </c>
      <c r="G178" s="4" t="s">
        <v>14</v>
      </c>
      <c r="H178" s="4" t="s">
        <v>78</v>
      </c>
      <c r="I178" s="7" t="n">
        <v>2018</v>
      </c>
      <c r="J178" s="7" t="n">
        <v>2023</v>
      </c>
      <c r="K178" s="4" t="s">
        <v>1439</v>
      </c>
      <c r="L178" s="4" t="s">
        <v>1440</v>
      </c>
      <c r="M178" s="4" t="s">
        <v>434</v>
      </c>
      <c r="N178" s="4" t="s">
        <v>1441</v>
      </c>
      <c r="O178" s="4" t="s">
        <v>1442</v>
      </c>
      <c r="P178" s="4" t="s">
        <v>52</v>
      </c>
    </row>
    <row r="179" customFormat="false" ht="15" hidden="false" customHeight="false" outlineLevel="0" collapsed="false">
      <c r="A179" s="4" t="s">
        <v>1443</v>
      </c>
      <c r="B179" s="4" t="s">
        <v>1444</v>
      </c>
      <c r="C179" s="4" t="s">
        <v>1445</v>
      </c>
      <c r="D179" s="4" t="s">
        <v>66</v>
      </c>
      <c r="E179" s="9" t="n">
        <v>38841</v>
      </c>
      <c r="F179" s="4" t="s">
        <v>77</v>
      </c>
      <c r="G179" s="4" t="s">
        <v>16</v>
      </c>
      <c r="H179" s="4" t="s">
        <v>78</v>
      </c>
      <c r="I179" s="7" t="n">
        <v>2019</v>
      </c>
      <c r="J179" s="7" t="n">
        <v>2025</v>
      </c>
      <c r="K179" s="4" t="s">
        <v>1446</v>
      </c>
      <c r="L179" s="4" t="s">
        <v>1447</v>
      </c>
      <c r="M179" s="4" t="s">
        <v>713</v>
      </c>
      <c r="N179" s="4" t="s">
        <v>1448</v>
      </c>
      <c r="O179" s="4" t="s">
        <v>1449</v>
      </c>
      <c r="P179" s="4" t="s">
        <v>73</v>
      </c>
    </row>
    <row r="180" customFormat="false" ht="15" hidden="false" customHeight="false" outlineLevel="0" collapsed="false">
      <c r="A180" s="4" t="s">
        <v>1450</v>
      </c>
      <c r="B180" s="4" t="s">
        <v>1451</v>
      </c>
      <c r="C180" s="4" t="s">
        <v>1452</v>
      </c>
      <c r="D180" s="4" t="s">
        <v>66</v>
      </c>
      <c r="E180" s="9" t="n">
        <v>39413</v>
      </c>
      <c r="F180" s="4" t="s">
        <v>56</v>
      </c>
      <c r="G180" s="4" t="s">
        <v>14</v>
      </c>
      <c r="H180" s="4" t="s">
        <v>78</v>
      </c>
      <c r="I180" s="7" t="n">
        <v>2019</v>
      </c>
      <c r="J180" s="7" t="n">
        <v>2025</v>
      </c>
      <c r="K180" s="4" t="s">
        <v>1453</v>
      </c>
      <c r="L180" s="4" t="s">
        <v>1454</v>
      </c>
      <c r="M180" s="4" t="s">
        <v>1455</v>
      </c>
      <c r="N180" s="4" t="s">
        <v>1456</v>
      </c>
      <c r="O180" s="4" t="s">
        <v>1457</v>
      </c>
      <c r="P180" s="4" t="s">
        <v>52</v>
      </c>
    </row>
    <row r="181" customFormat="false" ht="15" hidden="false" customHeight="false" outlineLevel="0" collapsed="false">
      <c r="A181" s="4" t="s">
        <v>1458</v>
      </c>
      <c r="B181" s="4" t="s">
        <v>1459</v>
      </c>
      <c r="C181" s="4" t="s">
        <v>1460</v>
      </c>
      <c r="D181" s="4" t="s">
        <v>44</v>
      </c>
      <c r="E181" s="9" t="n">
        <v>38579</v>
      </c>
      <c r="F181" s="4" t="s">
        <v>142</v>
      </c>
      <c r="G181" s="4" t="s">
        <v>16</v>
      </c>
      <c r="H181" s="4" t="s">
        <v>57</v>
      </c>
      <c r="I181" s="7" t="n">
        <v>2018</v>
      </c>
      <c r="J181" s="7" t="n">
        <v>2024</v>
      </c>
      <c r="K181" s="4" t="s">
        <v>1461</v>
      </c>
      <c r="L181" s="4" t="s">
        <v>1462</v>
      </c>
      <c r="M181" s="4" t="s">
        <v>1463</v>
      </c>
      <c r="N181" s="4" t="s">
        <v>1464</v>
      </c>
      <c r="O181" s="4" t="s">
        <v>1465</v>
      </c>
      <c r="P181" s="4" t="s">
        <v>52</v>
      </c>
    </row>
    <row r="182" customFormat="false" ht="15" hidden="false" customHeight="false" outlineLevel="0" collapsed="false">
      <c r="A182" s="4" t="s">
        <v>1466</v>
      </c>
      <c r="B182" s="4" t="s">
        <v>1467</v>
      </c>
      <c r="C182" s="4" t="s">
        <v>1468</v>
      </c>
      <c r="D182" s="4" t="s">
        <v>44</v>
      </c>
      <c r="E182" s="9" t="n">
        <v>38618</v>
      </c>
      <c r="F182" s="4" t="s">
        <v>45</v>
      </c>
      <c r="G182" s="4" t="s">
        <v>16</v>
      </c>
      <c r="H182" s="4" t="s">
        <v>46</v>
      </c>
      <c r="I182" s="7" t="n">
        <v>2017</v>
      </c>
      <c r="J182" s="7" t="n">
        <v>2023</v>
      </c>
      <c r="K182" s="4" t="s">
        <v>1469</v>
      </c>
      <c r="L182" s="4" t="s">
        <v>1470</v>
      </c>
      <c r="M182" s="4" t="s">
        <v>1471</v>
      </c>
      <c r="N182" s="4" t="s">
        <v>1472</v>
      </c>
      <c r="O182" s="4" t="s">
        <v>1473</v>
      </c>
      <c r="P182" s="4" t="s">
        <v>52</v>
      </c>
    </row>
    <row r="183" customFormat="false" ht="15" hidden="false" customHeight="false" outlineLevel="0" collapsed="false">
      <c r="A183" s="4" t="s">
        <v>1474</v>
      </c>
      <c r="B183" s="4" t="s">
        <v>1475</v>
      </c>
      <c r="C183" s="4" t="s">
        <v>1476</v>
      </c>
      <c r="D183" s="4" t="s">
        <v>66</v>
      </c>
      <c r="E183" s="9" t="n">
        <v>39150</v>
      </c>
      <c r="F183" s="4" t="s">
        <v>56</v>
      </c>
      <c r="G183" s="4" t="s">
        <v>17</v>
      </c>
      <c r="H183" s="4" t="s">
        <v>67</v>
      </c>
      <c r="I183" s="7" t="n">
        <v>2020</v>
      </c>
      <c r="J183" s="7" t="n">
        <v>2025</v>
      </c>
      <c r="K183" s="4" t="s">
        <v>1477</v>
      </c>
      <c r="L183" s="4" t="s">
        <v>1478</v>
      </c>
      <c r="M183" s="4" t="s">
        <v>1479</v>
      </c>
      <c r="N183" s="4" t="s">
        <v>1480</v>
      </c>
      <c r="O183" s="4" t="s">
        <v>1481</v>
      </c>
      <c r="P183" s="4" t="s">
        <v>52</v>
      </c>
    </row>
    <row r="184" customFormat="false" ht="15" hidden="false" customHeight="false" outlineLevel="0" collapsed="false">
      <c r="A184" s="4" t="s">
        <v>1482</v>
      </c>
      <c r="B184" s="4" t="s">
        <v>1483</v>
      </c>
      <c r="C184" s="4" t="s">
        <v>1484</v>
      </c>
      <c r="D184" s="4" t="s">
        <v>44</v>
      </c>
      <c r="E184" s="9" t="n">
        <v>37265</v>
      </c>
      <c r="F184" s="4" t="s">
        <v>45</v>
      </c>
      <c r="G184" s="4" t="s">
        <v>16</v>
      </c>
      <c r="H184" s="4" t="s">
        <v>67</v>
      </c>
      <c r="I184" s="7" t="n">
        <v>2016</v>
      </c>
      <c r="J184" s="7" t="n">
        <v>2021</v>
      </c>
      <c r="K184" s="4" t="s">
        <v>1485</v>
      </c>
      <c r="L184" s="4" t="s">
        <v>1486</v>
      </c>
      <c r="M184" s="4" t="s">
        <v>1487</v>
      </c>
      <c r="N184" s="4" t="s">
        <v>1488</v>
      </c>
      <c r="O184" s="4" t="s">
        <v>1489</v>
      </c>
      <c r="P184" s="4" t="s">
        <v>52</v>
      </c>
    </row>
    <row r="185" customFormat="false" ht="15" hidden="false" customHeight="false" outlineLevel="0" collapsed="false">
      <c r="A185" s="4" t="s">
        <v>1490</v>
      </c>
      <c r="B185" s="4" t="s">
        <v>1491</v>
      </c>
      <c r="C185" s="4" t="s">
        <v>1492</v>
      </c>
      <c r="D185" s="4" t="s">
        <v>44</v>
      </c>
      <c r="E185" s="9" t="n">
        <v>37647</v>
      </c>
      <c r="F185" s="4" t="s">
        <v>142</v>
      </c>
      <c r="G185" s="4" t="s">
        <v>15</v>
      </c>
      <c r="H185" s="4" t="s">
        <v>46</v>
      </c>
      <c r="I185" s="7" t="n">
        <v>2015</v>
      </c>
      <c r="J185" s="7" t="n">
        <v>2021</v>
      </c>
      <c r="K185" s="4" t="s">
        <v>1493</v>
      </c>
      <c r="L185" s="4" t="s">
        <v>1494</v>
      </c>
      <c r="M185" s="4" t="s">
        <v>1495</v>
      </c>
      <c r="N185" s="4" t="s">
        <v>1496</v>
      </c>
      <c r="O185" s="4" t="s">
        <v>1497</v>
      </c>
      <c r="P185" s="4" t="s">
        <v>52</v>
      </c>
    </row>
    <row r="186" customFormat="false" ht="15" hidden="false" customHeight="false" outlineLevel="0" collapsed="false">
      <c r="A186" s="4" t="s">
        <v>1498</v>
      </c>
      <c r="B186" s="4" t="s">
        <v>1499</v>
      </c>
      <c r="C186" s="4" t="s">
        <v>1500</v>
      </c>
      <c r="D186" s="4" t="s">
        <v>44</v>
      </c>
      <c r="E186" s="9" t="n">
        <v>37730</v>
      </c>
      <c r="F186" s="4" t="s">
        <v>142</v>
      </c>
      <c r="G186" s="4" t="s">
        <v>15</v>
      </c>
      <c r="H186" s="4" t="s">
        <v>46</v>
      </c>
      <c r="I186" s="7" t="n">
        <v>2016</v>
      </c>
      <c r="J186" s="7" t="n">
        <v>2021</v>
      </c>
      <c r="K186" s="4" t="s">
        <v>1501</v>
      </c>
      <c r="L186" s="4" t="s">
        <v>1502</v>
      </c>
      <c r="M186" s="4" t="s">
        <v>1503</v>
      </c>
      <c r="N186" s="4" t="s">
        <v>1504</v>
      </c>
      <c r="O186" s="4" t="s">
        <v>1505</v>
      </c>
      <c r="P186" s="4" t="s">
        <v>52</v>
      </c>
    </row>
    <row r="187" customFormat="false" ht="15" hidden="false" customHeight="false" outlineLevel="0" collapsed="false">
      <c r="A187" s="4" t="s">
        <v>1506</v>
      </c>
      <c r="B187" s="4" t="s">
        <v>1507</v>
      </c>
      <c r="C187" s="4" t="s">
        <v>1508</v>
      </c>
      <c r="D187" s="4" t="s">
        <v>66</v>
      </c>
      <c r="E187" s="9" t="n">
        <v>39219</v>
      </c>
      <c r="F187" s="4" t="s">
        <v>142</v>
      </c>
      <c r="G187" s="4" t="s">
        <v>18</v>
      </c>
      <c r="H187" s="4" t="s">
        <v>57</v>
      </c>
      <c r="I187" s="7" t="n">
        <v>2020</v>
      </c>
      <c r="J187" s="7" t="n">
        <v>2025</v>
      </c>
      <c r="K187" s="4" t="s">
        <v>1509</v>
      </c>
      <c r="L187" s="4" t="s">
        <v>1510</v>
      </c>
      <c r="M187" s="4" t="s">
        <v>1511</v>
      </c>
      <c r="N187" s="4" t="s">
        <v>1512</v>
      </c>
      <c r="O187" s="4" t="s">
        <v>1513</v>
      </c>
      <c r="P187" s="4" t="s">
        <v>73</v>
      </c>
    </row>
    <row r="188" customFormat="false" ht="15" hidden="false" customHeight="false" outlineLevel="0" collapsed="false">
      <c r="A188" s="4" t="s">
        <v>1514</v>
      </c>
      <c r="B188" s="4" t="s">
        <v>1515</v>
      </c>
      <c r="C188" s="4" t="s">
        <v>1516</v>
      </c>
      <c r="D188" s="4" t="s">
        <v>44</v>
      </c>
      <c r="E188" s="9" t="n">
        <v>37796</v>
      </c>
      <c r="F188" s="4" t="s">
        <v>77</v>
      </c>
      <c r="G188" s="4" t="s">
        <v>17</v>
      </c>
      <c r="H188" s="4" t="s">
        <v>46</v>
      </c>
      <c r="I188" s="7" t="n">
        <v>2017</v>
      </c>
      <c r="J188" s="7" t="n">
        <v>2022</v>
      </c>
      <c r="K188" s="4" t="s">
        <v>1517</v>
      </c>
      <c r="L188" s="4" t="s">
        <v>1518</v>
      </c>
      <c r="M188" s="4" t="s">
        <v>1519</v>
      </c>
      <c r="N188" s="4" t="s">
        <v>1520</v>
      </c>
      <c r="O188" s="4" t="s">
        <v>1521</v>
      </c>
      <c r="P188" s="4" t="s">
        <v>52</v>
      </c>
    </row>
    <row r="189" customFormat="false" ht="15" hidden="false" customHeight="false" outlineLevel="0" collapsed="false">
      <c r="A189" s="4" t="s">
        <v>1522</v>
      </c>
      <c r="B189" s="4" t="s">
        <v>1523</v>
      </c>
      <c r="C189" s="4" t="s">
        <v>1524</v>
      </c>
      <c r="D189" s="4" t="s">
        <v>66</v>
      </c>
      <c r="E189" s="9" t="n">
        <v>39044</v>
      </c>
      <c r="F189" s="4" t="s">
        <v>45</v>
      </c>
      <c r="G189" s="4" t="s">
        <v>16</v>
      </c>
      <c r="H189" s="4" t="s">
        <v>78</v>
      </c>
      <c r="I189" s="7" t="n">
        <v>2018</v>
      </c>
      <c r="J189" s="7" t="n">
        <v>2024</v>
      </c>
      <c r="K189" s="4" t="s">
        <v>1525</v>
      </c>
      <c r="L189" s="4" t="s">
        <v>1526</v>
      </c>
      <c r="M189" s="4" t="s">
        <v>1527</v>
      </c>
      <c r="N189" s="4" t="s">
        <v>1528</v>
      </c>
      <c r="O189" s="4" t="s">
        <v>1529</v>
      </c>
      <c r="P189" s="4" t="s">
        <v>52</v>
      </c>
    </row>
    <row r="190" customFormat="false" ht="15" hidden="false" customHeight="false" outlineLevel="0" collapsed="false">
      <c r="A190" s="4" t="s">
        <v>1530</v>
      </c>
      <c r="B190" s="4" t="s">
        <v>1531</v>
      </c>
      <c r="C190" s="4" t="s">
        <v>1532</v>
      </c>
      <c r="D190" s="4" t="s">
        <v>66</v>
      </c>
      <c r="E190" s="9" t="n">
        <v>38643</v>
      </c>
      <c r="F190" s="4" t="s">
        <v>45</v>
      </c>
      <c r="G190" s="4" t="s">
        <v>14</v>
      </c>
      <c r="H190" s="4" t="s">
        <v>57</v>
      </c>
      <c r="I190" s="7" t="n">
        <v>2018</v>
      </c>
      <c r="J190" s="7" t="n">
        <v>2023</v>
      </c>
      <c r="K190" s="4" t="s">
        <v>1206</v>
      </c>
      <c r="L190" s="4" t="s">
        <v>1533</v>
      </c>
      <c r="M190" s="4" t="s">
        <v>1534</v>
      </c>
      <c r="N190" s="4" t="s">
        <v>1535</v>
      </c>
      <c r="O190" s="4" t="s">
        <v>1536</v>
      </c>
      <c r="P190" s="4" t="s">
        <v>52</v>
      </c>
    </row>
    <row r="191" customFormat="false" ht="15" hidden="false" customHeight="false" outlineLevel="0" collapsed="false">
      <c r="A191" s="4" t="s">
        <v>1537</v>
      </c>
      <c r="B191" s="4" t="s">
        <v>1538</v>
      </c>
      <c r="C191" s="4" t="s">
        <v>1539</v>
      </c>
      <c r="D191" s="4" t="s">
        <v>66</v>
      </c>
      <c r="E191" s="9" t="n">
        <v>37670</v>
      </c>
      <c r="F191" s="4" t="s">
        <v>45</v>
      </c>
      <c r="G191" s="4" t="s">
        <v>16</v>
      </c>
      <c r="H191" s="4" t="s">
        <v>78</v>
      </c>
      <c r="I191" s="7" t="n">
        <v>2016</v>
      </c>
      <c r="J191" s="7" t="n">
        <v>2021</v>
      </c>
      <c r="K191" s="4" t="s">
        <v>1540</v>
      </c>
      <c r="L191" s="4" t="s">
        <v>1541</v>
      </c>
      <c r="M191" s="4" t="s">
        <v>1542</v>
      </c>
      <c r="N191" s="4" t="s">
        <v>1543</v>
      </c>
      <c r="O191" s="4" t="s">
        <v>1544</v>
      </c>
      <c r="P191" s="4" t="s">
        <v>52</v>
      </c>
    </row>
    <row r="192" customFormat="false" ht="15" hidden="false" customHeight="false" outlineLevel="0" collapsed="false">
      <c r="A192" s="4" t="s">
        <v>1545</v>
      </c>
      <c r="B192" s="4" t="s">
        <v>1546</v>
      </c>
      <c r="C192" s="4" t="s">
        <v>1547</v>
      </c>
      <c r="D192" s="4" t="s">
        <v>66</v>
      </c>
      <c r="E192" s="9" t="n">
        <v>38336</v>
      </c>
      <c r="F192" s="4" t="s">
        <v>142</v>
      </c>
      <c r="G192" s="4" t="s">
        <v>18</v>
      </c>
      <c r="H192" s="4" t="s">
        <v>78</v>
      </c>
      <c r="I192" s="7" t="n">
        <v>2017</v>
      </c>
      <c r="J192" s="7" t="n">
        <v>2022</v>
      </c>
      <c r="K192" s="4" t="s">
        <v>1548</v>
      </c>
      <c r="L192" s="4" t="s">
        <v>1549</v>
      </c>
      <c r="M192" s="4" t="s">
        <v>1550</v>
      </c>
      <c r="N192" s="4" t="s">
        <v>1551</v>
      </c>
      <c r="O192" s="4" t="s">
        <v>1552</v>
      </c>
      <c r="P192" s="4" t="s">
        <v>52</v>
      </c>
    </row>
    <row r="193" customFormat="false" ht="15" hidden="false" customHeight="false" outlineLevel="0" collapsed="false">
      <c r="A193" s="4" t="s">
        <v>1553</v>
      </c>
      <c r="B193" s="4" t="s">
        <v>1554</v>
      </c>
      <c r="C193" s="4" t="s">
        <v>1555</v>
      </c>
      <c r="D193" s="4" t="s">
        <v>44</v>
      </c>
      <c r="E193" s="9" t="n">
        <v>38242</v>
      </c>
      <c r="F193" s="4" t="s">
        <v>77</v>
      </c>
      <c r="G193" s="4" t="s">
        <v>15</v>
      </c>
      <c r="H193" s="4" t="s">
        <v>78</v>
      </c>
      <c r="I193" s="7" t="n">
        <v>2018</v>
      </c>
      <c r="J193" s="7" t="n">
        <v>2023</v>
      </c>
      <c r="K193" s="4" t="s">
        <v>1556</v>
      </c>
      <c r="L193" s="4" t="s">
        <v>1557</v>
      </c>
      <c r="M193" s="4" t="s">
        <v>1558</v>
      </c>
      <c r="N193" s="4" t="s">
        <v>1559</v>
      </c>
      <c r="O193" s="4" t="s">
        <v>1560</v>
      </c>
      <c r="P193" s="4" t="s">
        <v>52</v>
      </c>
    </row>
    <row r="194" customFormat="false" ht="15" hidden="false" customHeight="false" outlineLevel="0" collapsed="false">
      <c r="A194" s="4" t="s">
        <v>1561</v>
      </c>
      <c r="B194" s="4" t="s">
        <v>1562</v>
      </c>
      <c r="C194" s="4" t="s">
        <v>1563</v>
      </c>
      <c r="D194" s="4" t="s">
        <v>66</v>
      </c>
      <c r="E194" s="9" t="n">
        <v>37441</v>
      </c>
      <c r="F194" s="4" t="s">
        <v>56</v>
      </c>
      <c r="G194" s="4" t="s">
        <v>14</v>
      </c>
      <c r="H194" s="4" t="s">
        <v>57</v>
      </c>
      <c r="I194" s="7" t="n">
        <v>2015</v>
      </c>
      <c r="J194" s="7" t="n">
        <v>2021</v>
      </c>
      <c r="K194" s="4" t="s">
        <v>1564</v>
      </c>
      <c r="L194" s="4" t="s">
        <v>1565</v>
      </c>
      <c r="M194" s="4" t="s">
        <v>1566</v>
      </c>
      <c r="N194" s="4" t="s">
        <v>1567</v>
      </c>
      <c r="O194" s="4" t="s">
        <v>1568</v>
      </c>
      <c r="P194" s="4" t="s">
        <v>52</v>
      </c>
    </row>
    <row r="195" customFormat="false" ht="15" hidden="false" customHeight="false" outlineLevel="0" collapsed="false">
      <c r="A195" s="4" t="s">
        <v>1569</v>
      </c>
      <c r="B195" s="4" t="s">
        <v>1570</v>
      </c>
      <c r="C195" s="4" t="s">
        <v>89</v>
      </c>
      <c r="D195" s="4" t="s">
        <v>44</v>
      </c>
      <c r="E195" s="9" t="n">
        <v>37327</v>
      </c>
      <c r="F195" s="4" t="s">
        <v>45</v>
      </c>
      <c r="G195" s="4" t="s">
        <v>16</v>
      </c>
      <c r="H195" s="4" t="s">
        <v>78</v>
      </c>
      <c r="I195" s="7" t="n">
        <v>2016</v>
      </c>
      <c r="J195" s="7" t="n">
        <v>2021</v>
      </c>
      <c r="K195" s="4" t="s">
        <v>1571</v>
      </c>
      <c r="L195" s="4" t="s">
        <v>1572</v>
      </c>
      <c r="M195" s="4" t="s">
        <v>1573</v>
      </c>
      <c r="N195" s="4" t="s">
        <v>1574</v>
      </c>
      <c r="O195" s="4" t="s">
        <v>1575</v>
      </c>
      <c r="P195" s="4" t="s">
        <v>52</v>
      </c>
    </row>
    <row r="196" customFormat="false" ht="15" hidden="false" customHeight="false" outlineLevel="0" collapsed="false">
      <c r="A196" s="4" t="s">
        <v>1576</v>
      </c>
      <c r="B196" s="4" t="s">
        <v>1577</v>
      </c>
      <c r="C196" s="4" t="s">
        <v>1578</v>
      </c>
      <c r="D196" s="4" t="s">
        <v>44</v>
      </c>
      <c r="E196" s="9" t="n">
        <v>39437</v>
      </c>
      <c r="F196" s="4" t="s">
        <v>142</v>
      </c>
      <c r="G196" s="4" t="s">
        <v>15</v>
      </c>
      <c r="H196" s="4" t="s">
        <v>67</v>
      </c>
      <c r="I196" s="7" t="n">
        <v>2020</v>
      </c>
      <c r="J196" s="7" t="n">
        <v>2025</v>
      </c>
      <c r="K196" s="4" t="s">
        <v>1579</v>
      </c>
      <c r="L196" s="4" t="s">
        <v>1580</v>
      </c>
      <c r="M196" s="4" t="s">
        <v>200</v>
      </c>
      <c r="N196" s="4" t="s">
        <v>1581</v>
      </c>
      <c r="O196" s="4" t="s">
        <v>1582</v>
      </c>
      <c r="P196" s="4" t="s">
        <v>52</v>
      </c>
    </row>
    <row r="197" customFormat="false" ht="15" hidden="false" customHeight="false" outlineLevel="0" collapsed="false">
      <c r="A197" s="4" t="s">
        <v>1583</v>
      </c>
      <c r="B197" s="4" t="s">
        <v>1584</v>
      </c>
      <c r="C197" s="4" t="s">
        <v>1585</v>
      </c>
      <c r="D197" s="4" t="s">
        <v>44</v>
      </c>
      <c r="E197" s="9" t="n">
        <v>37336</v>
      </c>
      <c r="F197" s="4" t="s">
        <v>77</v>
      </c>
      <c r="G197" s="4" t="s">
        <v>16</v>
      </c>
      <c r="H197" s="4" t="s">
        <v>57</v>
      </c>
      <c r="I197" s="7" t="n">
        <v>2016</v>
      </c>
      <c r="J197" s="7" t="n">
        <v>2021</v>
      </c>
      <c r="K197" s="4" t="s">
        <v>1586</v>
      </c>
      <c r="L197" s="4" t="s">
        <v>1587</v>
      </c>
      <c r="M197" s="4" t="s">
        <v>1588</v>
      </c>
      <c r="N197" s="4" t="s">
        <v>1589</v>
      </c>
      <c r="O197" s="4" t="s">
        <v>1590</v>
      </c>
      <c r="P197" s="4" t="s">
        <v>52</v>
      </c>
    </row>
    <row r="198" customFormat="false" ht="15" hidden="false" customHeight="false" outlineLevel="0" collapsed="false">
      <c r="A198" s="4" t="s">
        <v>1591</v>
      </c>
      <c r="B198" s="4" t="s">
        <v>1592</v>
      </c>
      <c r="C198" s="4" t="s">
        <v>1593</v>
      </c>
      <c r="D198" s="4" t="s">
        <v>44</v>
      </c>
      <c r="E198" s="9" t="n">
        <v>39350</v>
      </c>
      <c r="F198" s="4" t="s">
        <v>77</v>
      </c>
      <c r="G198" s="4" t="s">
        <v>16</v>
      </c>
      <c r="H198" s="4" t="s">
        <v>57</v>
      </c>
      <c r="I198" s="7" t="n">
        <v>2019</v>
      </c>
      <c r="J198" s="7" t="n">
        <v>2025</v>
      </c>
      <c r="K198" s="4" t="s">
        <v>1594</v>
      </c>
      <c r="L198" s="4" t="s">
        <v>1595</v>
      </c>
      <c r="M198" s="4" t="s">
        <v>1596</v>
      </c>
      <c r="N198" s="4" t="s">
        <v>1597</v>
      </c>
      <c r="O198" s="4" t="s">
        <v>1598</v>
      </c>
      <c r="P198" s="4" t="s">
        <v>52</v>
      </c>
    </row>
    <row r="199" customFormat="false" ht="15" hidden="false" customHeight="false" outlineLevel="0" collapsed="false">
      <c r="A199" s="4" t="s">
        <v>1599</v>
      </c>
      <c r="B199" s="4" t="s">
        <v>1600</v>
      </c>
      <c r="C199" s="4" t="s">
        <v>1601</v>
      </c>
      <c r="D199" s="4" t="s">
        <v>66</v>
      </c>
      <c r="E199" s="9" t="n">
        <v>38004</v>
      </c>
      <c r="F199" s="4" t="s">
        <v>142</v>
      </c>
      <c r="G199" s="4" t="s">
        <v>17</v>
      </c>
      <c r="H199" s="4" t="s">
        <v>78</v>
      </c>
      <c r="I199" s="7" t="n">
        <v>2017</v>
      </c>
      <c r="J199" s="7" t="n">
        <v>2022</v>
      </c>
      <c r="K199" s="4" t="s">
        <v>1602</v>
      </c>
      <c r="L199" s="4" t="s">
        <v>1603</v>
      </c>
      <c r="M199" s="4" t="s">
        <v>1604</v>
      </c>
      <c r="N199" s="4" t="s">
        <v>1605</v>
      </c>
      <c r="O199" s="4" t="s">
        <v>1606</v>
      </c>
      <c r="P199" s="4" t="s">
        <v>52</v>
      </c>
    </row>
    <row r="200" customFormat="false" ht="15" hidden="false" customHeight="false" outlineLevel="0" collapsed="false">
      <c r="A200" s="4" t="s">
        <v>1607</v>
      </c>
      <c r="B200" s="4" t="s">
        <v>1608</v>
      </c>
      <c r="C200" s="4" t="s">
        <v>1609</v>
      </c>
      <c r="D200" s="4" t="s">
        <v>44</v>
      </c>
      <c r="E200" s="9" t="n">
        <v>38721</v>
      </c>
      <c r="F200" s="4" t="s">
        <v>45</v>
      </c>
      <c r="G200" s="4" t="s">
        <v>17</v>
      </c>
      <c r="H200" s="4" t="s">
        <v>57</v>
      </c>
      <c r="I200" s="7" t="n">
        <v>2019</v>
      </c>
      <c r="J200" s="7" t="n">
        <v>2024</v>
      </c>
      <c r="K200" s="4" t="s">
        <v>1610</v>
      </c>
      <c r="L200" s="4" t="s">
        <v>1611</v>
      </c>
      <c r="M200" s="4" t="s">
        <v>1612</v>
      </c>
      <c r="N200" s="4" t="s">
        <v>1613</v>
      </c>
      <c r="O200" s="4" t="s">
        <v>1614</v>
      </c>
      <c r="P200" s="4" t="s">
        <v>52</v>
      </c>
    </row>
    <row r="201" customFormat="false" ht="15" hidden="false" customHeight="false" outlineLevel="0" collapsed="false">
      <c r="A201" s="4" t="s">
        <v>1615</v>
      </c>
      <c r="B201" s="4" t="s">
        <v>1616</v>
      </c>
      <c r="C201" s="4" t="s">
        <v>1617</v>
      </c>
      <c r="D201" s="4" t="s">
        <v>44</v>
      </c>
      <c r="E201" s="9" t="n">
        <v>38314</v>
      </c>
      <c r="F201" s="4" t="s">
        <v>45</v>
      </c>
      <c r="G201" s="4" t="s">
        <v>14</v>
      </c>
      <c r="H201" s="4" t="s">
        <v>57</v>
      </c>
      <c r="I201" s="7" t="n">
        <v>2017</v>
      </c>
      <c r="J201" s="7" t="n">
        <v>2022</v>
      </c>
      <c r="K201" s="4" t="s">
        <v>1618</v>
      </c>
      <c r="L201" s="4" t="s">
        <v>1619</v>
      </c>
      <c r="M201" s="4" t="s">
        <v>1620</v>
      </c>
      <c r="N201" s="4" t="s">
        <v>1621</v>
      </c>
      <c r="O201" s="4" t="s">
        <v>1622</v>
      </c>
      <c r="P201" s="4" t="s">
        <v>52</v>
      </c>
    </row>
    <row r="202" customFormat="false" ht="15" hidden="false" customHeight="false" outlineLevel="0" collapsed="false">
      <c r="A202" s="4" t="s">
        <v>1623</v>
      </c>
      <c r="B202" s="4" t="s">
        <v>1624</v>
      </c>
      <c r="C202" s="4" t="s">
        <v>1625</v>
      </c>
      <c r="D202" s="4" t="s">
        <v>66</v>
      </c>
      <c r="E202" s="9" t="n">
        <v>37686</v>
      </c>
      <c r="F202" s="4" t="s">
        <v>142</v>
      </c>
      <c r="G202" s="4" t="s">
        <v>15</v>
      </c>
      <c r="H202" s="4" t="s">
        <v>46</v>
      </c>
      <c r="I202" s="7" t="n">
        <v>2015</v>
      </c>
      <c r="J202" s="7" t="n">
        <v>2021</v>
      </c>
      <c r="K202" s="4" t="s">
        <v>1626</v>
      </c>
      <c r="L202" s="4" t="s">
        <v>1627</v>
      </c>
      <c r="M202" s="4" t="s">
        <v>1628</v>
      </c>
      <c r="N202" s="4" t="s">
        <v>1629</v>
      </c>
      <c r="O202" s="4" t="s">
        <v>1630</v>
      </c>
      <c r="P202" s="4" t="s">
        <v>52</v>
      </c>
    </row>
    <row r="203" customFormat="false" ht="15" hidden="false" customHeight="false" outlineLevel="0" collapsed="false">
      <c r="A203" s="4" t="s">
        <v>1631</v>
      </c>
      <c r="B203" s="4" t="s">
        <v>1632</v>
      </c>
      <c r="C203" s="4" t="s">
        <v>1633</v>
      </c>
      <c r="D203" s="4" t="s">
        <v>66</v>
      </c>
      <c r="E203" s="9" t="n">
        <v>38325</v>
      </c>
      <c r="F203" s="4" t="s">
        <v>77</v>
      </c>
      <c r="G203" s="4" t="s">
        <v>17</v>
      </c>
      <c r="H203" s="4" t="s">
        <v>67</v>
      </c>
      <c r="I203" s="7" t="n">
        <v>2018</v>
      </c>
      <c r="J203" s="7" t="n">
        <v>2023</v>
      </c>
      <c r="K203" s="4" t="s">
        <v>1634</v>
      </c>
      <c r="L203" s="4" t="s">
        <v>1635</v>
      </c>
      <c r="M203" s="4" t="s">
        <v>1636</v>
      </c>
      <c r="N203" s="4" t="s">
        <v>1637</v>
      </c>
      <c r="O203" s="4" t="s">
        <v>1638</v>
      </c>
      <c r="P203" s="4" t="s">
        <v>52</v>
      </c>
    </row>
    <row r="204" customFormat="false" ht="15" hidden="false" customHeight="false" outlineLevel="0" collapsed="false">
      <c r="A204" s="4" t="s">
        <v>1639</v>
      </c>
      <c r="B204" s="4" t="s">
        <v>1640</v>
      </c>
      <c r="C204" s="4" t="s">
        <v>1641</v>
      </c>
      <c r="D204" s="4" t="s">
        <v>44</v>
      </c>
      <c r="E204" s="9" t="n">
        <v>38243</v>
      </c>
      <c r="F204" s="4" t="s">
        <v>45</v>
      </c>
      <c r="G204" s="4" t="s">
        <v>14</v>
      </c>
      <c r="H204" s="4" t="s">
        <v>57</v>
      </c>
      <c r="I204" s="7" t="n">
        <v>2018</v>
      </c>
      <c r="J204" s="7" t="n">
        <v>2023</v>
      </c>
      <c r="K204" s="4" t="s">
        <v>1642</v>
      </c>
      <c r="L204" s="4" t="s">
        <v>1643</v>
      </c>
      <c r="M204" s="4" t="s">
        <v>1644</v>
      </c>
      <c r="N204" s="4" t="s">
        <v>1645</v>
      </c>
      <c r="O204" s="4" t="s">
        <v>1646</v>
      </c>
      <c r="P204" s="4" t="s">
        <v>52</v>
      </c>
    </row>
    <row r="205" customFormat="false" ht="15" hidden="false" customHeight="false" outlineLevel="0" collapsed="false">
      <c r="A205" s="4" t="s">
        <v>1647</v>
      </c>
      <c r="B205" s="4" t="s">
        <v>1648</v>
      </c>
      <c r="C205" s="4" t="s">
        <v>1649</v>
      </c>
      <c r="D205" s="4" t="s">
        <v>44</v>
      </c>
      <c r="E205" s="9" t="n">
        <v>37555</v>
      </c>
      <c r="F205" s="4" t="s">
        <v>45</v>
      </c>
      <c r="G205" s="4" t="s">
        <v>14</v>
      </c>
      <c r="H205" s="4" t="s">
        <v>78</v>
      </c>
      <c r="I205" s="7" t="n">
        <v>2015</v>
      </c>
      <c r="J205" s="7" t="n">
        <v>2021</v>
      </c>
      <c r="K205" s="4" t="s">
        <v>1650</v>
      </c>
      <c r="L205" s="4" t="s">
        <v>1651</v>
      </c>
      <c r="M205" s="4" t="s">
        <v>1652</v>
      </c>
      <c r="N205" s="4" t="s">
        <v>1653</v>
      </c>
      <c r="O205" s="4" t="s">
        <v>1654</v>
      </c>
      <c r="P205" s="4" t="s">
        <v>52</v>
      </c>
    </row>
    <row r="206" customFormat="false" ht="15" hidden="false" customHeight="false" outlineLevel="0" collapsed="false">
      <c r="A206" s="4" t="s">
        <v>1655</v>
      </c>
      <c r="B206" s="4" t="s">
        <v>1656</v>
      </c>
      <c r="C206" s="4" t="s">
        <v>1657</v>
      </c>
      <c r="D206" s="4" t="s">
        <v>44</v>
      </c>
      <c r="E206" s="9" t="n">
        <v>38375</v>
      </c>
      <c r="F206" s="4" t="s">
        <v>45</v>
      </c>
      <c r="G206" s="4" t="s">
        <v>14</v>
      </c>
      <c r="H206" s="4" t="s">
        <v>57</v>
      </c>
      <c r="I206" s="7" t="n">
        <v>2017</v>
      </c>
      <c r="J206" s="7" t="n">
        <v>2023</v>
      </c>
      <c r="K206" s="4" t="s">
        <v>1658</v>
      </c>
      <c r="L206" s="4" t="s">
        <v>1659</v>
      </c>
      <c r="M206" s="4" t="s">
        <v>1660</v>
      </c>
      <c r="N206" s="4" t="s">
        <v>1661</v>
      </c>
      <c r="O206" s="4" t="s">
        <v>1662</v>
      </c>
      <c r="P206" s="4" t="s">
        <v>52</v>
      </c>
    </row>
    <row r="207" customFormat="false" ht="15" hidden="false" customHeight="false" outlineLevel="0" collapsed="false">
      <c r="A207" s="4" t="s">
        <v>1663</v>
      </c>
      <c r="B207" s="4" t="s">
        <v>1664</v>
      </c>
      <c r="C207" s="4" t="s">
        <v>1665</v>
      </c>
      <c r="D207" s="4" t="s">
        <v>44</v>
      </c>
      <c r="E207" s="9" t="n">
        <v>38638</v>
      </c>
      <c r="F207" s="4" t="s">
        <v>142</v>
      </c>
      <c r="G207" s="4" t="s">
        <v>15</v>
      </c>
      <c r="H207" s="4" t="s">
        <v>67</v>
      </c>
      <c r="I207" s="7" t="n">
        <v>2019</v>
      </c>
      <c r="J207" s="7" t="n">
        <v>2024</v>
      </c>
      <c r="K207" s="4" t="s">
        <v>1666</v>
      </c>
      <c r="L207" s="4" t="s">
        <v>1667</v>
      </c>
      <c r="M207" s="4" t="s">
        <v>1668</v>
      </c>
      <c r="N207" s="4" t="s">
        <v>1669</v>
      </c>
      <c r="O207" s="4" t="s">
        <v>1670</v>
      </c>
      <c r="P207" s="4" t="s">
        <v>52</v>
      </c>
    </row>
    <row r="208" customFormat="false" ht="15" hidden="false" customHeight="false" outlineLevel="0" collapsed="false">
      <c r="A208" s="4" t="s">
        <v>1671</v>
      </c>
      <c r="B208" s="4" t="s">
        <v>1672</v>
      </c>
      <c r="C208" s="4" t="s">
        <v>1673</v>
      </c>
      <c r="D208" s="4" t="s">
        <v>44</v>
      </c>
      <c r="E208" s="9" t="n">
        <v>38662</v>
      </c>
      <c r="F208" s="4" t="s">
        <v>142</v>
      </c>
      <c r="G208" s="4" t="s">
        <v>14</v>
      </c>
      <c r="H208" s="4" t="s">
        <v>67</v>
      </c>
      <c r="I208" s="7" t="n">
        <v>2018</v>
      </c>
      <c r="J208" s="7" t="n">
        <v>2023</v>
      </c>
      <c r="K208" s="4" t="s">
        <v>1674</v>
      </c>
      <c r="L208" s="4" t="s">
        <v>1675</v>
      </c>
      <c r="M208" s="4" t="s">
        <v>1676</v>
      </c>
      <c r="N208" s="4" t="s">
        <v>1677</v>
      </c>
      <c r="O208" s="4" t="s">
        <v>1678</v>
      </c>
      <c r="P208" s="4" t="s">
        <v>52</v>
      </c>
    </row>
    <row r="209" customFormat="false" ht="15" hidden="false" customHeight="false" outlineLevel="0" collapsed="false">
      <c r="A209" s="4" t="s">
        <v>1679</v>
      </c>
      <c r="B209" s="4" t="s">
        <v>1680</v>
      </c>
      <c r="C209" s="4" t="s">
        <v>1681</v>
      </c>
      <c r="D209" s="4" t="s">
        <v>66</v>
      </c>
      <c r="E209" s="9" t="n">
        <v>38724</v>
      </c>
      <c r="F209" s="4" t="s">
        <v>77</v>
      </c>
      <c r="G209" s="4" t="s">
        <v>16</v>
      </c>
      <c r="H209" s="4" t="s">
        <v>46</v>
      </c>
      <c r="I209" s="7" t="n">
        <v>2020</v>
      </c>
      <c r="J209" s="7" t="n">
        <v>2025</v>
      </c>
      <c r="K209" s="4" t="s">
        <v>1682</v>
      </c>
      <c r="L209" s="4" t="s">
        <v>1683</v>
      </c>
      <c r="M209" s="4" t="s">
        <v>1684</v>
      </c>
      <c r="N209" s="4" t="s">
        <v>1685</v>
      </c>
      <c r="O209" s="4" t="s">
        <v>1686</v>
      </c>
      <c r="P209" s="4" t="s">
        <v>52</v>
      </c>
    </row>
    <row r="210" customFormat="false" ht="15" hidden="false" customHeight="false" outlineLevel="0" collapsed="false">
      <c r="A210" s="4" t="s">
        <v>1687</v>
      </c>
      <c r="B210" s="4" t="s">
        <v>1688</v>
      </c>
      <c r="C210" s="4" t="s">
        <v>1689</v>
      </c>
      <c r="D210" s="4" t="s">
        <v>44</v>
      </c>
      <c r="E210" s="9" t="n">
        <v>38467</v>
      </c>
      <c r="F210" s="4" t="s">
        <v>77</v>
      </c>
      <c r="G210" s="4" t="s">
        <v>15</v>
      </c>
      <c r="H210" s="4" t="s">
        <v>46</v>
      </c>
      <c r="I210" s="7" t="n">
        <v>2018</v>
      </c>
      <c r="J210" s="7" t="n">
        <v>2024</v>
      </c>
      <c r="K210" s="4" t="s">
        <v>1690</v>
      </c>
      <c r="L210" s="4" t="s">
        <v>1691</v>
      </c>
      <c r="M210" s="4" t="s">
        <v>1692</v>
      </c>
      <c r="N210" s="4" t="s">
        <v>1693</v>
      </c>
      <c r="O210" s="4" t="s">
        <v>1694</v>
      </c>
      <c r="P210" s="4" t="s">
        <v>52</v>
      </c>
    </row>
    <row r="211" customFormat="false" ht="15" hidden="false" customHeight="false" outlineLevel="0" collapsed="false">
      <c r="A211" s="4" t="s">
        <v>1695</v>
      </c>
      <c r="B211" s="4" t="s">
        <v>1696</v>
      </c>
      <c r="C211" s="4" t="s">
        <v>1697</v>
      </c>
      <c r="D211" s="4" t="s">
        <v>44</v>
      </c>
      <c r="E211" s="9" t="n">
        <v>38155</v>
      </c>
      <c r="F211" s="4" t="s">
        <v>77</v>
      </c>
      <c r="G211" s="4" t="s">
        <v>14</v>
      </c>
      <c r="H211" s="4" t="s">
        <v>67</v>
      </c>
      <c r="I211" s="7" t="n">
        <v>2017</v>
      </c>
      <c r="J211" s="7" t="n">
        <v>2022</v>
      </c>
      <c r="K211" s="4" t="s">
        <v>1698</v>
      </c>
      <c r="L211" s="4" t="s">
        <v>1699</v>
      </c>
      <c r="M211" s="4" t="s">
        <v>1700</v>
      </c>
      <c r="N211" s="4" t="s">
        <v>1701</v>
      </c>
      <c r="O211" s="4" t="s">
        <v>1702</v>
      </c>
      <c r="P211" s="4" t="s">
        <v>52</v>
      </c>
    </row>
    <row r="212" customFormat="false" ht="15" hidden="false" customHeight="false" outlineLevel="0" collapsed="false">
      <c r="A212" s="4" t="s">
        <v>1703</v>
      </c>
      <c r="B212" s="4" t="s">
        <v>1704</v>
      </c>
      <c r="C212" s="4" t="s">
        <v>1705</v>
      </c>
      <c r="D212" s="4" t="s">
        <v>44</v>
      </c>
      <c r="E212" s="9" t="n">
        <v>38753</v>
      </c>
      <c r="F212" s="4" t="s">
        <v>45</v>
      </c>
      <c r="G212" s="4" t="s">
        <v>17</v>
      </c>
      <c r="H212" s="4" t="s">
        <v>67</v>
      </c>
      <c r="I212" s="7" t="n">
        <v>2019</v>
      </c>
      <c r="J212" s="7" t="n">
        <v>2025</v>
      </c>
      <c r="K212" s="4" t="s">
        <v>1706</v>
      </c>
      <c r="L212" s="4" t="s">
        <v>1707</v>
      </c>
      <c r="M212" s="4" t="s">
        <v>1708</v>
      </c>
      <c r="N212" s="4" t="s">
        <v>1709</v>
      </c>
      <c r="O212" s="4" t="s">
        <v>1710</v>
      </c>
      <c r="P212" s="4" t="s">
        <v>52</v>
      </c>
    </row>
    <row r="213" customFormat="false" ht="15" hidden="false" customHeight="false" outlineLevel="0" collapsed="false">
      <c r="A213" s="4" t="s">
        <v>1711</v>
      </c>
      <c r="B213" s="4" t="s">
        <v>1712</v>
      </c>
      <c r="C213" s="4" t="s">
        <v>1713</v>
      </c>
      <c r="D213" s="4" t="s">
        <v>44</v>
      </c>
      <c r="E213" s="9" t="n">
        <v>37676</v>
      </c>
      <c r="F213" s="4" t="s">
        <v>77</v>
      </c>
      <c r="G213" s="4" t="s">
        <v>15</v>
      </c>
      <c r="H213" s="4" t="s">
        <v>67</v>
      </c>
      <c r="I213" s="7" t="n">
        <v>2017</v>
      </c>
      <c r="J213" s="7" t="n">
        <v>2022</v>
      </c>
      <c r="K213" s="4" t="s">
        <v>1714</v>
      </c>
      <c r="L213" s="4" t="s">
        <v>1715</v>
      </c>
      <c r="M213" s="4" t="s">
        <v>1716</v>
      </c>
      <c r="N213" s="4" t="s">
        <v>1717</v>
      </c>
      <c r="O213" s="4" t="s">
        <v>1718</v>
      </c>
      <c r="P213" s="4" t="s">
        <v>52</v>
      </c>
    </row>
    <row r="214" customFormat="false" ht="15" hidden="false" customHeight="false" outlineLevel="0" collapsed="false">
      <c r="A214" s="4" t="s">
        <v>1719</v>
      </c>
      <c r="B214" s="4" t="s">
        <v>1720</v>
      </c>
      <c r="C214" s="4" t="s">
        <v>562</v>
      </c>
      <c r="D214" s="4" t="s">
        <v>44</v>
      </c>
      <c r="E214" s="9" t="n">
        <v>38511</v>
      </c>
      <c r="F214" s="4" t="s">
        <v>56</v>
      </c>
      <c r="G214" s="4" t="s">
        <v>16</v>
      </c>
      <c r="H214" s="4" t="s">
        <v>57</v>
      </c>
      <c r="I214" s="7" t="n">
        <v>2019</v>
      </c>
      <c r="J214" s="7" t="n">
        <v>2024</v>
      </c>
      <c r="K214" s="4" t="s">
        <v>1721</v>
      </c>
      <c r="L214" s="4" t="s">
        <v>1722</v>
      </c>
      <c r="M214" s="4" t="s">
        <v>1723</v>
      </c>
      <c r="N214" s="4" t="s">
        <v>1724</v>
      </c>
      <c r="O214" s="4" t="s">
        <v>1725</v>
      </c>
      <c r="P214" s="4" t="s">
        <v>52</v>
      </c>
    </row>
    <row r="215" customFormat="false" ht="15" hidden="false" customHeight="false" outlineLevel="0" collapsed="false">
      <c r="A215" s="4" t="s">
        <v>1726</v>
      </c>
      <c r="B215" s="4" t="s">
        <v>1727</v>
      </c>
      <c r="C215" s="4" t="s">
        <v>1728</v>
      </c>
      <c r="D215" s="4" t="s">
        <v>66</v>
      </c>
      <c r="E215" s="9" t="n">
        <v>37742</v>
      </c>
      <c r="F215" s="4" t="s">
        <v>77</v>
      </c>
      <c r="G215" s="4" t="s">
        <v>15</v>
      </c>
      <c r="H215" s="4" t="s">
        <v>46</v>
      </c>
      <c r="I215" s="7" t="n">
        <v>2017</v>
      </c>
      <c r="J215" s="7" t="n">
        <v>2022</v>
      </c>
      <c r="K215" s="4" t="s">
        <v>1729</v>
      </c>
      <c r="L215" s="4" t="s">
        <v>1730</v>
      </c>
      <c r="M215" s="4" t="s">
        <v>1167</v>
      </c>
      <c r="N215" s="4" t="s">
        <v>1731</v>
      </c>
      <c r="O215" s="4" t="s">
        <v>1732</v>
      </c>
      <c r="P215" s="4" t="s">
        <v>52</v>
      </c>
    </row>
    <row r="216" customFormat="false" ht="15" hidden="false" customHeight="false" outlineLevel="0" collapsed="false">
      <c r="A216" s="4" t="s">
        <v>1733</v>
      </c>
      <c r="B216" s="4" t="s">
        <v>1734</v>
      </c>
      <c r="C216" s="4" t="s">
        <v>1735</v>
      </c>
      <c r="D216" s="4" t="s">
        <v>44</v>
      </c>
      <c r="E216" s="9" t="n">
        <v>38118</v>
      </c>
      <c r="F216" s="4" t="s">
        <v>77</v>
      </c>
      <c r="G216" s="4" t="s">
        <v>16</v>
      </c>
      <c r="H216" s="4" t="s">
        <v>46</v>
      </c>
      <c r="I216" s="7" t="n">
        <v>2017</v>
      </c>
      <c r="J216" s="7" t="n">
        <v>2023</v>
      </c>
      <c r="K216" s="4" t="s">
        <v>1736</v>
      </c>
      <c r="L216" s="4" t="s">
        <v>1737</v>
      </c>
      <c r="M216" s="4" t="s">
        <v>1738</v>
      </c>
      <c r="N216" s="4" t="s">
        <v>1739</v>
      </c>
      <c r="O216" s="4" t="s">
        <v>1740</v>
      </c>
      <c r="P216" s="4" t="s">
        <v>52</v>
      </c>
    </row>
    <row r="217" customFormat="false" ht="15" hidden="false" customHeight="false" outlineLevel="0" collapsed="false">
      <c r="A217" s="4" t="s">
        <v>1741</v>
      </c>
      <c r="B217" s="4" t="s">
        <v>1742</v>
      </c>
      <c r="C217" s="4" t="s">
        <v>1708</v>
      </c>
      <c r="D217" s="4" t="s">
        <v>66</v>
      </c>
      <c r="E217" s="9" t="n">
        <v>37688</v>
      </c>
      <c r="F217" s="4" t="s">
        <v>77</v>
      </c>
      <c r="G217" s="4" t="s">
        <v>18</v>
      </c>
      <c r="H217" s="4" t="s">
        <v>46</v>
      </c>
      <c r="I217" s="7" t="n">
        <v>2016</v>
      </c>
      <c r="J217" s="7" t="n">
        <v>2022</v>
      </c>
      <c r="K217" s="4" t="s">
        <v>1743</v>
      </c>
      <c r="L217" s="4" t="s">
        <v>1744</v>
      </c>
      <c r="M217" s="4" t="s">
        <v>1745</v>
      </c>
      <c r="N217" s="4" t="s">
        <v>1746</v>
      </c>
      <c r="O217" s="4" t="s">
        <v>1747</v>
      </c>
      <c r="P217" s="4" t="s">
        <v>52</v>
      </c>
    </row>
    <row r="218" customFormat="false" ht="15" hidden="false" customHeight="false" outlineLevel="0" collapsed="false">
      <c r="A218" s="4" t="s">
        <v>1748</v>
      </c>
      <c r="B218" s="4" t="s">
        <v>1749</v>
      </c>
      <c r="C218" s="4" t="s">
        <v>1750</v>
      </c>
      <c r="D218" s="4" t="s">
        <v>44</v>
      </c>
      <c r="E218" s="9" t="n">
        <v>39345</v>
      </c>
      <c r="F218" s="4" t="s">
        <v>45</v>
      </c>
      <c r="G218" s="4" t="s">
        <v>15</v>
      </c>
      <c r="H218" s="4" t="s">
        <v>57</v>
      </c>
      <c r="I218" s="7" t="n">
        <v>2019</v>
      </c>
      <c r="J218" s="7" t="n">
        <v>2025</v>
      </c>
      <c r="K218" s="4" t="s">
        <v>1751</v>
      </c>
      <c r="L218" s="4" t="s">
        <v>1752</v>
      </c>
      <c r="M218" s="4" t="s">
        <v>1753</v>
      </c>
      <c r="N218" s="4" t="s">
        <v>1754</v>
      </c>
      <c r="O218" s="4" t="s">
        <v>1755</v>
      </c>
      <c r="P218" s="4" t="s">
        <v>52</v>
      </c>
    </row>
    <row r="219" customFormat="false" ht="15" hidden="false" customHeight="false" outlineLevel="0" collapsed="false">
      <c r="A219" s="4" t="s">
        <v>1756</v>
      </c>
      <c r="B219" s="4" t="s">
        <v>1757</v>
      </c>
      <c r="C219" s="4" t="s">
        <v>1758</v>
      </c>
      <c r="D219" s="4" t="s">
        <v>44</v>
      </c>
      <c r="E219" s="9" t="n">
        <v>38412</v>
      </c>
      <c r="F219" s="4" t="s">
        <v>77</v>
      </c>
      <c r="G219" s="4" t="s">
        <v>15</v>
      </c>
      <c r="H219" s="4" t="s">
        <v>78</v>
      </c>
      <c r="I219" s="7" t="n">
        <v>2017</v>
      </c>
      <c r="J219" s="7" t="n">
        <v>2023</v>
      </c>
      <c r="K219" s="4" t="s">
        <v>1759</v>
      </c>
      <c r="L219" s="4" t="s">
        <v>1760</v>
      </c>
      <c r="M219" s="4" t="s">
        <v>1761</v>
      </c>
      <c r="N219" s="4" t="s">
        <v>1762</v>
      </c>
      <c r="O219" s="4" t="s">
        <v>1763</v>
      </c>
      <c r="P219" s="4" t="s">
        <v>52</v>
      </c>
    </row>
    <row r="220" customFormat="false" ht="15" hidden="false" customHeight="false" outlineLevel="0" collapsed="false">
      <c r="A220" s="4" t="s">
        <v>1764</v>
      </c>
      <c r="B220" s="4" t="s">
        <v>1765</v>
      </c>
      <c r="C220" s="4" t="s">
        <v>1766</v>
      </c>
      <c r="D220" s="4" t="s">
        <v>66</v>
      </c>
      <c r="E220" s="9" t="n">
        <v>39122</v>
      </c>
      <c r="F220" s="4" t="s">
        <v>77</v>
      </c>
      <c r="G220" s="4" t="s">
        <v>18</v>
      </c>
      <c r="H220" s="4" t="s">
        <v>57</v>
      </c>
      <c r="I220" s="7" t="n">
        <v>2020</v>
      </c>
      <c r="J220" s="7" t="n">
        <v>2025</v>
      </c>
      <c r="K220" s="4" t="s">
        <v>1767</v>
      </c>
      <c r="L220" s="4" t="s">
        <v>1768</v>
      </c>
      <c r="M220" s="4" t="s">
        <v>1769</v>
      </c>
      <c r="N220" s="4" t="s">
        <v>1770</v>
      </c>
      <c r="O220" s="4" t="s">
        <v>1771</v>
      </c>
      <c r="P220" s="4" t="s">
        <v>52</v>
      </c>
    </row>
    <row r="221" customFormat="false" ht="15" hidden="false" customHeight="false" outlineLevel="0" collapsed="false">
      <c r="A221" s="4" t="s">
        <v>1772</v>
      </c>
      <c r="B221" s="4" t="s">
        <v>1773</v>
      </c>
      <c r="C221" s="4" t="s">
        <v>1774</v>
      </c>
      <c r="D221" s="4" t="s">
        <v>66</v>
      </c>
      <c r="E221" s="9" t="n">
        <v>38475</v>
      </c>
      <c r="F221" s="4" t="s">
        <v>77</v>
      </c>
      <c r="G221" s="4" t="s">
        <v>15</v>
      </c>
      <c r="H221" s="4" t="s">
        <v>78</v>
      </c>
      <c r="I221" s="7" t="n">
        <v>2017</v>
      </c>
      <c r="J221" s="7" t="n">
        <v>2023</v>
      </c>
      <c r="K221" s="4" t="s">
        <v>1775</v>
      </c>
      <c r="L221" s="4" t="s">
        <v>1776</v>
      </c>
      <c r="M221" s="4" t="s">
        <v>1777</v>
      </c>
      <c r="N221" s="4" t="s">
        <v>1778</v>
      </c>
      <c r="O221" s="4" t="s">
        <v>1779</v>
      </c>
      <c r="P221" s="4" t="s">
        <v>52</v>
      </c>
    </row>
    <row r="222" customFormat="false" ht="15" hidden="false" customHeight="false" outlineLevel="0" collapsed="false">
      <c r="A222" s="4" t="s">
        <v>1780</v>
      </c>
      <c r="B222" s="4" t="s">
        <v>1781</v>
      </c>
      <c r="C222" s="4" t="s">
        <v>1782</v>
      </c>
      <c r="D222" s="4" t="s">
        <v>44</v>
      </c>
      <c r="E222" s="9" t="n">
        <v>38482</v>
      </c>
      <c r="F222" s="4" t="s">
        <v>142</v>
      </c>
      <c r="G222" s="4" t="s">
        <v>16</v>
      </c>
      <c r="H222" s="4" t="s">
        <v>57</v>
      </c>
      <c r="I222" s="7" t="n">
        <v>2019</v>
      </c>
      <c r="J222" s="7" t="n">
        <v>2024</v>
      </c>
      <c r="K222" s="4" t="s">
        <v>1783</v>
      </c>
      <c r="L222" s="4" t="s">
        <v>1784</v>
      </c>
      <c r="M222" s="4" t="s">
        <v>1785</v>
      </c>
      <c r="N222" s="4" t="s">
        <v>1786</v>
      </c>
      <c r="O222" s="4" t="s">
        <v>1787</v>
      </c>
      <c r="P222" s="4" t="s">
        <v>52</v>
      </c>
    </row>
    <row r="223" customFormat="false" ht="15" hidden="false" customHeight="false" outlineLevel="0" collapsed="false">
      <c r="A223" s="4" t="s">
        <v>1788</v>
      </c>
      <c r="B223" s="4" t="s">
        <v>1789</v>
      </c>
      <c r="C223" s="4" t="s">
        <v>317</v>
      </c>
      <c r="D223" s="4" t="s">
        <v>66</v>
      </c>
      <c r="E223" s="9" t="n">
        <v>37929</v>
      </c>
      <c r="F223" s="4" t="s">
        <v>56</v>
      </c>
      <c r="G223" s="4" t="s">
        <v>14</v>
      </c>
      <c r="H223" s="4" t="s">
        <v>46</v>
      </c>
      <c r="I223" s="7" t="n">
        <v>2015</v>
      </c>
      <c r="J223" s="7" t="n">
        <v>2021</v>
      </c>
      <c r="K223" s="4" t="s">
        <v>1790</v>
      </c>
      <c r="L223" s="4" t="s">
        <v>1791</v>
      </c>
      <c r="M223" s="4" t="s">
        <v>1792</v>
      </c>
      <c r="N223" s="4" t="s">
        <v>1793</v>
      </c>
      <c r="O223" s="4" t="s">
        <v>1794</v>
      </c>
      <c r="P223" s="4" t="s">
        <v>52</v>
      </c>
    </row>
    <row r="224" customFormat="false" ht="15" hidden="false" customHeight="false" outlineLevel="0" collapsed="false">
      <c r="A224" s="4" t="s">
        <v>1795</v>
      </c>
      <c r="B224" s="4" t="s">
        <v>1796</v>
      </c>
      <c r="C224" s="4" t="s">
        <v>1797</v>
      </c>
      <c r="D224" s="4" t="s">
        <v>66</v>
      </c>
      <c r="E224" s="9" t="n">
        <v>37977</v>
      </c>
      <c r="F224" s="4" t="s">
        <v>77</v>
      </c>
      <c r="G224" s="4" t="s">
        <v>16</v>
      </c>
      <c r="H224" s="4" t="s">
        <v>46</v>
      </c>
      <c r="I224" s="7" t="n">
        <v>2017</v>
      </c>
      <c r="J224" s="7" t="n">
        <v>2022</v>
      </c>
      <c r="K224" s="4" t="s">
        <v>1798</v>
      </c>
      <c r="L224" s="4" t="s">
        <v>1799</v>
      </c>
      <c r="M224" s="4" t="s">
        <v>1800</v>
      </c>
      <c r="N224" s="4" t="s">
        <v>1801</v>
      </c>
      <c r="O224" s="4" t="s">
        <v>1802</v>
      </c>
      <c r="P224" s="4" t="s">
        <v>52</v>
      </c>
    </row>
    <row r="225" customFormat="false" ht="15" hidden="false" customHeight="false" outlineLevel="0" collapsed="false">
      <c r="A225" s="4" t="s">
        <v>1803</v>
      </c>
      <c r="B225" s="4" t="s">
        <v>1804</v>
      </c>
      <c r="C225" s="4" t="s">
        <v>1805</v>
      </c>
      <c r="D225" s="4" t="s">
        <v>44</v>
      </c>
      <c r="E225" s="9" t="n">
        <v>38498</v>
      </c>
      <c r="F225" s="4" t="s">
        <v>142</v>
      </c>
      <c r="G225" s="4" t="s">
        <v>15</v>
      </c>
      <c r="H225" s="4" t="s">
        <v>46</v>
      </c>
      <c r="I225" s="7" t="n">
        <v>2018</v>
      </c>
      <c r="J225" s="7" t="n">
        <v>2024</v>
      </c>
      <c r="K225" s="4" t="s">
        <v>1806</v>
      </c>
      <c r="L225" s="4" t="s">
        <v>1807</v>
      </c>
      <c r="M225" s="4" t="s">
        <v>1808</v>
      </c>
      <c r="N225" s="4" t="s">
        <v>1809</v>
      </c>
      <c r="O225" s="4" t="s">
        <v>1810</v>
      </c>
      <c r="P225" s="4" t="s">
        <v>52</v>
      </c>
    </row>
    <row r="226" customFormat="false" ht="15" hidden="false" customHeight="false" outlineLevel="0" collapsed="false">
      <c r="A226" s="4" t="s">
        <v>1811</v>
      </c>
      <c r="B226" s="4" t="s">
        <v>1812</v>
      </c>
      <c r="C226" s="4" t="s">
        <v>1813</v>
      </c>
      <c r="D226" s="4" t="s">
        <v>66</v>
      </c>
      <c r="E226" s="9" t="n">
        <v>38040</v>
      </c>
      <c r="F226" s="4" t="s">
        <v>77</v>
      </c>
      <c r="G226" s="4" t="s">
        <v>14</v>
      </c>
      <c r="H226" s="4" t="s">
        <v>57</v>
      </c>
      <c r="I226" s="7" t="n">
        <v>2016</v>
      </c>
      <c r="J226" s="7" t="n">
        <v>2022</v>
      </c>
      <c r="K226" s="4" t="s">
        <v>1814</v>
      </c>
      <c r="L226" s="4" t="s">
        <v>1815</v>
      </c>
      <c r="M226" s="4" t="s">
        <v>1816</v>
      </c>
      <c r="N226" s="4" t="s">
        <v>1817</v>
      </c>
      <c r="O226" s="4" t="s">
        <v>1818</v>
      </c>
      <c r="P226" s="4" t="s">
        <v>52</v>
      </c>
    </row>
    <row r="227" customFormat="false" ht="15" hidden="false" customHeight="false" outlineLevel="0" collapsed="false">
      <c r="A227" s="4" t="s">
        <v>1819</v>
      </c>
      <c r="B227" s="4" t="s">
        <v>1820</v>
      </c>
      <c r="C227" s="4" t="s">
        <v>821</v>
      </c>
      <c r="D227" s="4" t="s">
        <v>66</v>
      </c>
      <c r="E227" s="9" t="n">
        <v>38021</v>
      </c>
      <c r="F227" s="4" t="s">
        <v>56</v>
      </c>
      <c r="G227" s="4" t="s">
        <v>14</v>
      </c>
      <c r="H227" s="4" t="s">
        <v>67</v>
      </c>
      <c r="I227" s="7" t="n">
        <v>2016</v>
      </c>
      <c r="J227" s="7" t="n">
        <v>2022</v>
      </c>
      <c r="K227" s="4" t="s">
        <v>1821</v>
      </c>
      <c r="L227" s="4" t="s">
        <v>1822</v>
      </c>
      <c r="M227" s="4" t="s">
        <v>1823</v>
      </c>
      <c r="N227" s="4" t="s">
        <v>1824</v>
      </c>
      <c r="O227" s="4" t="s">
        <v>1825</v>
      </c>
      <c r="P227" s="4" t="s">
        <v>52</v>
      </c>
    </row>
    <row r="228" customFormat="false" ht="15" hidden="false" customHeight="false" outlineLevel="0" collapsed="false">
      <c r="A228" s="4" t="s">
        <v>1826</v>
      </c>
      <c r="B228" s="4" t="s">
        <v>1827</v>
      </c>
      <c r="C228" s="4" t="s">
        <v>1828</v>
      </c>
      <c r="D228" s="4" t="s">
        <v>66</v>
      </c>
      <c r="E228" s="9" t="n">
        <v>38645</v>
      </c>
      <c r="F228" s="4" t="s">
        <v>142</v>
      </c>
      <c r="G228" s="4" t="s">
        <v>18</v>
      </c>
      <c r="H228" s="4" t="s">
        <v>67</v>
      </c>
      <c r="I228" s="7" t="n">
        <v>2019</v>
      </c>
      <c r="J228" s="7" t="n">
        <v>2024</v>
      </c>
      <c r="K228" s="4" t="s">
        <v>1829</v>
      </c>
      <c r="L228" s="4" t="s">
        <v>1830</v>
      </c>
      <c r="M228" s="4" t="s">
        <v>1831</v>
      </c>
      <c r="N228" s="4" t="s">
        <v>1832</v>
      </c>
      <c r="O228" s="4" t="s">
        <v>1833</v>
      </c>
      <c r="P228" s="4" t="s">
        <v>52</v>
      </c>
    </row>
    <row r="229" customFormat="false" ht="15" hidden="false" customHeight="false" outlineLevel="0" collapsed="false">
      <c r="A229" s="4" t="s">
        <v>1834</v>
      </c>
      <c r="B229" s="4" t="s">
        <v>1835</v>
      </c>
      <c r="C229" s="4" t="s">
        <v>1836</v>
      </c>
      <c r="D229" s="4" t="s">
        <v>44</v>
      </c>
      <c r="E229" s="9" t="n">
        <v>38745</v>
      </c>
      <c r="F229" s="4" t="s">
        <v>45</v>
      </c>
      <c r="G229" s="4" t="s">
        <v>14</v>
      </c>
      <c r="H229" s="4" t="s">
        <v>57</v>
      </c>
      <c r="I229" s="7" t="n">
        <v>2020</v>
      </c>
      <c r="J229" s="7" t="n">
        <v>2025</v>
      </c>
      <c r="K229" s="4" t="s">
        <v>1837</v>
      </c>
      <c r="L229" s="4" t="s">
        <v>1838</v>
      </c>
      <c r="M229" s="4" t="s">
        <v>1839</v>
      </c>
      <c r="N229" s="4" t="s">
        <v>1840</v>
      </c>
      <c r="O229" s="4" t="s">
        <v>1841</v>
      </c>
      <c r="P229" s="4" t="s">
        <v>52</v>
      </c>
    </row>
    <row r="230" customFormat="false" ht="15" hidden="false" customHeight="false" outlineLevel="0" collapsed="false">
      <c r="A230" s="4" t="s">
        <v>1842</v>
      </c>
      <c r="B230" s="4" t="s">
        <v>1843</v>
      </c>
      <c r="C230" s="4" t="s">
        <v>1844</v>
      </c>
      <c r="D230" s="4" t="s">
        <v>44</v>
      </c>
      <c r="E230" s="9" t="n">
        <v>38029</v>
      </c>
      <c r="F230" s="4" t="s">
        <v>142</v>
      </c>
      <c r="G230" s="4" t="s">
        <v>18</v>
      </c>
      <c r="H230" s="4" t="s">
        <v>46</v>
      </c>
      <c r="I230" s="7" t="n">
        <v>2018</v>
      </c>
      <c r="J230" s="7" t="n">
        <v>2023</v>
      </c>
      <c r="K230" s="4" t="s">
        <v>1845</v>
      </c>
      <c r="L230" s="4" t="s">
        <v>1846</v>
      </c>
      <c r="M230" s="4" t="s">
        <v>1847</v>
      </c>
      <c r="N230" s="4" t="s">
        <v>1848</v>
      </c>
      <c r="O230" s="4" t="s">
        <v>1849</v>
      </c>
      <c r="P230" s="4" t="s">
        <v>52</v>
      </c>
    </row>
    <row r="231" customFormat="false" ht="15" hidden="false" customHeight="false" outlineLevel="0" collapsed="false">
      <c r="A231" s="4" t="s">
        <v>1850</v>
      </c>
      <c r="B231" s="4" t="s">
        <v>1851</v>
      </c>
      <c r="C231" s="4" t="s">
        <v>1852</v>
      </c>
      <c r="D231" s="4" t="s">
        <v>66</v>
      </c>
      <c r="E231" s="9" t="n">
        <v>39438</v>
      </c>
      <c r="F231" s="4" t="s">
        <v>142</v>
      </c>
      <c r="G231" s="4" t="s">
        <v>18</v>
      </c>
      <c r="H231" s="4" t="s">
        <v>46</v>
      </c>
      <c r="I231" s="7" t="n">
        <v>2019</v>
      </c>
      <c r="J231" s="7" t="n">
        <v>2025</v>
      </c>
      <c r="K231" s="4" t="s">
        <v>1853</v>
      </c>
      <c r="L231" s="4" t="s">
        <v>1854</v>
      </c>
      <c r="M231" s="4" t="s">
        <v>618</v>
      </c>
      <c r="N231" s="4" t="s">
        <v>1855</v>
      </c>
      <c r="O231" s="4" t="s">
        <v>1856</v>
      </c>
      <c r="P231" s="4" t="s">
        <v>73</v>
      </c>
    </row>
    <row r="232" customFormat="false" ht="15" hidden="false" customHeight="false" outlineLevel="0" collapsed="false">
      <c r="A232" s="4" t="s">
        <v>1857</v>
      </c>
      <c r="B232" s="4" t="s">
        <v>1858</v>
      </c>
      <c r="C232" s="4" t="s">
        <v>1859</v>
      </c>
      <c r="D232" s="4" t="s">
        <v>66</v>
      </c>
      <c r="E232" s="9" t="n">
        <v>37689</v>
      </c>
      <c r="F232" s="4" t="s">
        <v>77</v>
      </c>
      <c r="G232" s="4" t="s">
        <v>17</v>
      </c>
      <c r="H232" s="4" t="s">
        <v>57</v>
      </c>
      <c r="I232" s="7" t="n">
        <v>2015</v>
      </c>
      <c r="J232" s="7" t="n">
        <v>2021</v>
      </c>
      <c r="K232" s="4" t="s">
        <v>1860</v>
      </c>
      <c r="L232" s="4" t="s">
        <v>1861</v>
      </c>
      <c r="M232" s="4" t="s">
        <v>1862</v>
      </c>
      <c r="N232" s="4" t="s">
        <v>1863</v>
      </c>
      <c r="O232" s="4" t="s">
        <v>1864</v>
      </c>
      <c r="P232" s="4" t="s">
        <v>52</v>
      </c>
    </row>
    <row r="233" customFormat="false" ht="15" hidden="false" customHeight="false" outlineLevel="0" collapsed="false">
      <c r="A233" s="4" t="s">
        <v>1865</v>
      </c>
      <c r="B233" s="4" t="s">
        <v>1866</v>
      </c>
      <c r="C233" s="4" t="s">
        <v>1797</v>
      </c>
      <c r="D233" s="4" t="s">
        <v>66</v>
      </c>
      <c r="E233" s="9" t="n">
        <v>38517</v>
      </c>
      <c r="F233" s="4" t="s">
        <v>56</v>
      </c>
      <c r="G233" s="4" t="s">
        <v>18</v>
      </c>
      <c r="H233" s="4" t="s">
        <v>67</v>
      </c>
      <c r="I233" s="7" t="n">
        <v>2017</v>
      </c>
      <c r="J233" s="7" t="n">
        <v>2023</v>
      </c>
      <c r="K233" s="4" t="s">
        <v>1867</v>
      </c>
      <c r="L233" s="4" t="s">
        <v>1868</v>
      </c>
      <c r="M233" s="4" t="s">
        <v>1869</v>
      </c>
      <c r="N233" s="4" t="s">
        <v>1870</v>
      </c>
      <c r="O233" s="4" t="s">
        <v>1871</v>
      </c>
      <c r="P233" s="4" t="s">
        <v>52</v>
      </c>
    </row>
    <row r="234" customFormat="false" ht="15" hidden="false" customHeight="false" outlineLevel="0" collapsed="false">
      <c r="A234" s="4" t="s">
        <v>1872</v>
      </c>
      <c r="B234" s="4" t="s">
        <v>1873</v>
      </c>
      <c r="C234" s="4" t="s">
        <v>1874</v>
      </c>
      <c r="D234" s="4" t="s">
        <v>66</v>
      </c>
      <c r="E234" s="9" t="n">
        <v>38092</v>
      </c>
      <c r="F234" s="4" t="s">
        <v>77</v>
      </c>
      <c r="G234" s="4" t="s">
        <v>18</v>
      </c>
      <c r="H234" s="4" t="s">
        <v>46</v>
      </c>
      <c r="I234" s="7" t="n">
        <v>2016</v>
      </c>
      <c r="J234" s="7" t="n">
        <v>2022</v>
      </c>
      <c r="K234" s="4" t="s">
        <v>1875</v>
      </c>
      <c r="L234" s="4" t="s">
        <v>1876</v>
      </c>
      <c r="M234" s="4" t="s">
        <v>1877</v>
      </c>
      <c r="N234" s="4" t="s">
        <v>1878</v>
      </c>
      <c r="O234" s="4" t="s">
        <v>1879</v>
      </c>
      <c r="P234" s="4" t="s">
        <v>52</v>
      </c>
    </row>
    <row r="235" customFormat="false" ht="15" hidden="false" customHeight="false" outlineLevel="0" collapsed="false">
      <c r="A235" s="4" t="s">
        <v>1880</v>
      </c>
      <c r="B235" s="4" t="s">
        <v>1881</v>
      </c>
      <c r="C235" s="4" t="s">
        <v>1882</v>
      </c>
      <c r="D235" s="4" t="s">
        <v>44</v>
      </c>
      <c r="E235" s="9" t="n">
        <v>37697</v>
      </c>
      <c r="F235" s="4" t="s">
        <v>77</v>
      </c>
      <c r="G235" s="4" t="s">
        <v>15</v>
      </c>
      <c r="H235" s="4" t="s">
        <v>46</v>
      </c>
      <c r="I235" s="7" t="n">
        <v>2016</v>
      </c>
      <c r="J235" s="7" t="n">
        <v>2022</v>
      </c>
      <c r="K235" s="4" t="s">
        <v>1883</v>
      </c>
      <c r="L235" s="4" t="s">
        <v>1884</v>
      </c>
      <c r="M235" s="4" t="s">
        <v>1885</v>
      </c>
      <c r="N235" s="4" t="s">
        <v>1886</v>
      </c>
      <c r="O235" s="4" t="s">
        <v>1887</v>
      </c>
      <c r="P235" s="4" t="s">
        <v>52</v>
      </c>
    </row>
    <row r="236" customFormat="false" ht="15" hidden="false" customHeight="false" outlineLevel="0" collapsed="false">
      <c r="A236" s="4" t="s">
        <v>1888</v>
      </c>
      <c r="B236" s="4" t="s">
        <v>1889</v>
      </c>
      <c r="C236" s="4" t="s">
        <v>1890</v>
      </c>
      <c r="D236" s="4" t="s">
        <v>66</v>
      </c>
      <c r="E236" s="9" t="n">
        <v>38505</v>
      </c>
      <c r="F236" s="4" t="s">
        <v>56</v>
      </c>
      <c r="G236" s="4" t="s">
        <v>15</v>
      </c>
      <c r="H236" s="4" t="s">
        <v>57</v>
      </c>
      <c r="I236" s="7" t="n">
        <v>2017</v>
      </c>
      <c r="J236" s="7" t="n">
        <v>2023</v>
      </c>
      <c r="K236" s="4" t="s">
        <v>1891</v>
      </c>
      <c r="L236" s="4" t="s">
        <v>1892</v>
      </c>
      <c r="M236" s="4" t="s">
        <v>1893</v>
      </c>
      <c r="N236" s="4" t="s">
        <v>1894</v>
      </c>
      <c r="O236" s="4" t="s">
        <v>1895</v>
      </c>
      <c r="P236" s="4" t="s">
        <v>52</v>
      </c>
    </row>
    <row r="237" customFormat="false" ht="15" hidden="false" customHeight="false" outlineLevel="0" collapsed="false">
      <c r="A237" s="4" t="s">
        <v>1896</v>
      </c>
      <c r="B237" s="4" t="s">
        <v>1897</v>
      </c>
      <c r="C237" s="4" t="s">
        <v>1898</v>
      </c>
      <c r="D237" s="4" t="s">
        <v>66</v>
      </c>
      <c r="E237" s="9" t="n">
        <v>38111</v>
      </c>
      <c r="F237" s="4" t="s">
        <v>142</v>
      </c>
      <c r="G237" s="4" t="s">
        <v>17</v>
      </c>
      <c r="H237" s="4" t="s">
        <v>78</v>
      </c>
      <c r="I237" s="7" t="n">
        <v>2017</v>
      </c>
      <c r="J237" s="7" t="n">
        <v>2022</v>
      </c>
      <c r="K237" s="4" t="s">
        <v>1899</v>
      </c>
      <c r="L237" s="4" t="s">
        <v>1900</v>
      </c>
      <c r="M237" s="4" t="s">
        <v>792</v>
      </c>
      <c r="N237" s="4" t="s">
        <v>1901</v>
      </c>
      <c r="O237" s="4" t="s">
        <v>1902</v>
      </c>
      <c r="P237" s="4" t="s">
        <v>52</v>
      </c>
    </row>
    <row r="238" customFormat="false" ht="15" hidden="false" customHeight="false" outlineLevel="0" collapsed="false">
      <c r="A238" s="4" t="s">
        <v>1903</v>
      </c>
      <c r="B238" s="4" t="s">
        <v>1904</v>
      </c>
      <c r="C238" s="4" t="s">
        <v>1040</v>
      </c>
      <c r="D238" s="4" t="s">
        <v>44</v>
      </c>
      <c r="E238" s="9" t="n">
        <v>38731</v>
      </c>
      <c r="F238" s="4" t="s">
        <v>77</v>
      </c>
      <c r="G238" s="4" t="s">
        <v>16</v>
      </c>
      <c r="H238" s="4" t="s">
        <v>57</v>
      </c>
      <c r="I238" s="7" t="n">
        <v>2020</v>
      </c>
      <c r="J238" s="7" t="n">
        <v>2025</v>
      </c>
      <c r="K238" s="4" t="s">
        <v>1905</v>
      </c>
      <c r="L238" s="4" t="s">
        <v>1906</v>
      </c>
      <c r="M238" s="4" t="s">
        <v>1907</v>
      </c>
      <c r="N238" s="4" t="s">
        <v>1908</v>
      </c>
      <c r="O238" s="4" t="s">
        <v>1909</v>
      </c>
      <c r="P238" s="4" t="s">
        <v>73</v>
      </c>
    </row>
    <row r="239" customFormat="false" ht="15" hidden="false" customHeight="false" outlineLevel="0" collapsed="false">
      <c r="A239" s="4" t="s">
        <v>1910</v>
      </c>
      <c r="B239" s="4" t="s">
        <v>1911</v>
      </c>
      <c r="C239" s="4" t="s">
        <v>702</v>
      </c>
      <c r="D239" s="4" t="s">
        <v>66</v>
      </c>
      <c r="E239" s="9" t="n">
        <v>38591</v>
      </c>
      <c r="F239" s="4" t="s">
        <v>77</v>
      </c>
      <c r="G239" s="4" t="s">
        <v>15</v>
      </c>
      <c r="H239" s="4" t="s">
        <v>67</v>
      </c>
      <c r="I239" s="7" t="n">
        <v>2018</v>
      </c>
      <c r="J239" s="7" t="n">
        <v>2024</v>
      </c>
      <c r="K239" s="4" t="s">
        <v>1912</v>
      </c>
      <c r="L239" s="4" t="s">
        <v>1913</v>
      </c>
      <c r="M239" s="4" t="s">
        <v>657</v>
      </c>
      <c r="N239" s="4" t="s">
        <v>1914</v>
      </c>
      <c r="O239" s="4" t="s">
        <v>1915</v>
      </c>
      <c r="P239" s="4" t="s">
        <v>52</v>
      </c>
    </row>
    <row r="240" customFormat="false" ht="15" hidden="false" customHeight="false" outlineLevel="0" collapsed="false">
      <c r="A240" s="4" t="s">
        <v>1916</v>
      </c>
      <c r="B240" s="4" t="s">
        <v>1917</v>
      </c>
      <c r="C240" s="4" t="s">
        <v>1918</v>
      </c>
      <c r="D240" s="4" t="s">
        <v>44</v>
      </c>
      <c r="E240" s="9" t="n">
        <v>38058</v>
      </c>
      <c r="F240" s="4" t="s">
        <v>77</v>
      </c>
      <c r="G240" s="4" t="s">
        <v>14</v>
      </c>
      <c r="H240" s="4" t="s">
        <v>67</v>
      </c>
      <c r="I240" s="7" t="n">
        <v>2016</v>
      </c>
      <c r="J240" s="7" t="n">
        <v>2022</v>
      </c>
      <c r="K240" s="4" t="s">
        <v>1919</v>
      </c>
      <c r="L240" s="4" t="s">
        <v>1920</v>
      </c>
      <c r="M240" s="4" t="s">
        <v>1921</v>
      </c>
      <c r="N240" s="4" t="s">
        <v>1922</v>
      </c>
      <c r="O240" s="4" t="s">
        <v>1923</v>
      </c>
      <c r="P240" s="4" t="s">
        <v>52</v>
      </c>
    </row>
    <row r="241" customFormat="false" ht="15" hidden="false" customHeight="false" outlineLevel="0" collapsed="false">
      <c r="A241" s="4" t="s">
        <v>1924</v>
      </c>
      <c r="B241" s="4" t="s">
        <v>1925</v>
      </c>
      <c r="C241" s="4" t="s">
        <v>1926</v>
      </c>
      <c r="D241" s="4" t="s">
        <v>44</v>
      </c>
      <c r="E241" s="9" t="n">
        <v>38392</v>
      </c>
      <c r="F241" s="4" t="s">
        <v>45</v>
      </c>
      <c r="G241" s="4" t="s">
        <v>15</v>
      </c>
      <c r="H241" s="4" t="s">
        <v>57</v>
      </c>
      <c r="I241" s="7" t="n">
        <v>2018</v>
      </c>
      <c r="J241" s="7" t="n">
        <v>2024</v>
      </c>
      <c r="K241" s="4" t="s">
        <v>1927</v>
      </c>
      <c r="L241" s="4" t="s">
        <v>1928</v>
      </c>
      <c r="M241" s="4" t="s">
        <v>1929</v>
      </c>
      <c r="N241" s="4" t="s">
        <v>1930</v>
      </c>
      <c r="O241" s="4" t="s">
        <v>1931</v>
      </c>
      <c r="P241" s="4" t="s">
        <v>52</v>
      </c>
    </row>
    <row r="242" customFormat="false" ht="15" hidden="false" customHeight="false" outlineLevel="0" collapsed="false">
      <c r="A242" s="4" t="s">
        <v>1932</v>
      </c>
      <c r="B242" s="4" t="s">
        <v>1933</v>
      </c>
      <c r="C242" s="4" t="s">
        <v>1934</v>
      </c>
      <c r="D242" s="4" t="s">
        <v>44</v>
      </c>
      <c r="E242" s="9" t="n">
        <v>38742</v>
      </c>
      <c r="F242" s="4" t="s">
        <v>56</v>
      </c>
      <c r="G242" s="4" t="s">
        <v>15</v>
      </c>
      <c r="H242" s="4" t="s">
        <v>57</v>
      </c>
      <c r="I242" s="7" t="n">
        <v>2019</v>
      </c>
      <c r="J242" s="7" t="n">
        <v>2025</v>
      </c>
      <c r="K242" s="4" t="s">
        <v>1935</v>
      </c>
      <c r="L242" s="4" t="s">
        <v>1936</v>
      </c>
      <c r="M242" s="4" t="s">
        <v>1937</v>
      </c>
      <c r="N242" s="4" t="s">
        <v>1938</v>
      </c>
      <c r="O242" s="4" t="s">
        <v>1939</v>
      </c>
      <c r="P242" s="4" t="s">
        <v>73</v>
      </c>
    </row>
    <row r="243" customFormat="false" ht="15" hidden="false" customHeight="false" outlineLevel="0" collapsed="false">
      <c r="A243" s="4" t="s">
        <v>1940</v>
      </c>
      <c r="B243" s="4" t="s">
        <v>1941</v>
      </c>
      <c r="C243" s="4" t="s">
        <v>521</v>
      </c>
      <c r="D243" s="4" t="s">
        <v>66</v>
      </c>
      <c r="E243" s="9" t="n">
        <v>38606</v>
      </c>
      <c r="F243" s="4" t="s">
        <v>77</v>
      </c>
      <c r="G243" s="4" t="s">
        <v>16</v>
      </c>
      <c r="H243" s="4" t="s">
        <v>78</v>
      </c>
      <c r="I243" s="7" t="n">
        <v>2017</v>
      </c>
      <c r="J243" s="7" t="n">
        <v>2023</v>
      </c>
      <c r="K243" s="4" t="s">
        <v>1942</v>
      </c>
      <c r="L243" s="4" t="s">
        <v>1943</v>
      </c>
      <c r="M243" s="4" t="s">
        <v>1944</v>
      </c>
      <c r="N243" s="4" t="s">
        <v>1945</v>
      </c>
      <c r="O243" s="4" t="s">
        <v>1946</v>
      </c>
      <c r="P243" s="4" t="s">
        <v>52</v>
      </c>
    </row>
    <row r="244" customFormat="false" ht="15" hidden="false" customHeight="false" outlineLevel="0" collapsed="false">
      <c r="A244" s="4" t="s">
        <v>1947</v>
      </c>
      <c r="B244" s="4" t="s">
        <v>1948</v>
      </c>
      <c r="C244" s="4" t="s">
        <v>1949</v>
      </c>
      <c r="D244" s="4" t="s">
        <v>66</v>
      </c>
      <c r="E244" s="9" t="n">
        <v>38086</v>
      </c>
      <c r="F244" s="4" t="s">
        <v>142</v>
      </c>
      <c r="G244" s="4" t="s">
        <v>18</v>
      </c>
      <c r="H244" s="4" t="s">
        <v>78</v>
      </c>
      <c r="I244" s="7" t="n">
        <v>2017</v>
      </c>
      <c r="J244" s="7" t="n">
        <v>2023</v>
      </c>
      <c r="K244" s="4" t="s">
        <v>1950</v>
      </c>
      <c r="L244" s="4" t="s">
        <v>1951</v>
      </c>
      <c r="M244" s="4" t="s">
        <v>60</v>
      </c>
      <c r="N244" s="4" t="s">
        <v>1952</v>
      </c>
      <c r="O244" s="4" t="s">
        <v>1953</v>
      </c>
      <c r="P244" s="4" t="s">
        <v>52</v>
      </c>
    </row>
    <row r="245" customFormat="false" ht="15" hidden="false" customHeight="false" outlineLevel="0" collapsed="false">
      <c r="A245" s="4" t="s">
        <v>1954</v>
      </c>
      <c r="B245" s="4" t="s">
        <v>1955</v>
      </c>
      <c r="C245" s="4" t="s">
        <v>1956</v>
      </c>
      <c r="D245" s="4" t="s">
        <v>66</v>
      </c>
      <c r="E245" s="9" t="n">
        <v>38620</v>
      </c>
      <c r="F245" s="4" t="s">
        <v>142</v>
      </c>
      <c r="G245" s="4" t="s">
        <v>16</v>
      </c>
      <c r="H245" s="4" t="s">
        <v>46</v>
      </c>
      <c r="I245" s="7" t="n">
        <v>2018</v>
      </c>
      <c r="J245" s="7" t="n">
        <v>2023</v>
      </c>
      <c r="K245" s="4" t="s">
        <v>1957</v>
      </c>
      <c r="L245" s="4" t="s">
        <v>1958</v>
      </c>
      <c r="M245" s="4" t="s">
        <v>1959</v>
      </c>
      <c r="N245" s="4" t="s">
        <v>1960</v>
      </c>
      <c r="O245" s="4" t="s">
        <v>1961</v>
      </c>
      <c r="P245" s="4" t="s">
        <v>52</v>
      </c>
    </row>
    <row r="246" customFormat="false" ht="15" hidden="false" customHeight="false" outlineLevel="0" collapsed="false">
      <c r="A246" s="4" t="s">
        <v>1962</v>
      </c>
      <c r="B246" s="4" t="s">
        <v>1963</v>
      </c>
      <c r="C246" s="4" t="s">
        <v>1964</v>
      </c>
      <c r="D246" s="4" t="s">
        <v>66</v>
      </c>
      <c r="E246" s="9" t="n">
        <v>38287</v>
      </c>
      <c r="F246" s="4" t="s">
        <v>142</v>
      </c>
      <c r="G246" s="4" t="s">
        <v>16</v>
      </c>
      <c r="H246" s="4" t="s">
        <v>46</v>
      </c>
      <c r="I246" s="7" t="n">
        <v>2018</v>
      </c>
      <c r="J246" s="7" t="n">
        <v>2023</v>
      </c>
      <c r="K246" s="4" t="s">
        <v>1965</v>
      </c>
      <c r="L246" s="4" t="s">
        <v>1966</v>
      </c>
      <c r="M246" s="4" t="s">
        <v>639</v>
      </c>
      <c r="N246" s="4" t="s">
        <v>1967</v>
      </c>
      <c r="O246" s="4" t="s">
        <v>1968</v>
      </c>
      <c r="P246" s="4" t="s">
        <v>52</v>
      </c>
    </row>
    <row r="247" customFormat="false" ht="15" hidden="false" customHeight="false" outlineLevel="0" collapsed="false">
      <c r="A247" s="4" t="s">
        <v>1969</v>
      </c>
      <c r="B247" s="4" t="s">
        <v>1970</v>
      </c>
      <c r="C247" s="4" t="s">
        <v>1971</v>
      </c>
      <c r="D247" s="4" t="s">
        <v>66</v>
      </c>
      <c r="E247" s="9" t="n">
        <v>37852</v>
      </c>
      <c r="F247" s="4" t="s">
        <v>45</v>
      </c>
      <c r="G247" s="4" t="s">
        <v>18</v>
      </c>
      <c r="H247" s="4" t="s">
        <v>67</v>
      </c>
      <c r="I247" s="7" t="n">
        <v>2016</v>
      </c>
      <c r="J247" s="7" t="n">
        <v>2021</v>
      </c>
      <c r="K247" s="4" t="s">
        <v>1972</v>
      </c>
      <c r="L247" s="4" t="s">
        <v>1973</v>
      </c>
      <c r="M247" s="4" t="s">
        <v>1974</v>
      </c>
      <c r="N247" s="4" t="s">
        <v>1975</v>
      </c>
      <c r="O247" s="4" t="s">
        <v>1976</v>
      </c>
      <c r="P247" s="4" t="s">
        <v>52</v>
      </c>
    </row>
    <row r="248" customFormat="false" ht="15" hidden="false" customHeight="false" outlineLevel="0" collapsed="false">
      <c r="A248" s="4" t="s">
        <v>1977</v>
      </c>
      <c r="B248" s="4" t="s">
        <v>1978</v>
      </c>
      <c r="C248" s="4" t="s">
        <v>1979</v>
      </c>
      <c r="D248" s="4" t="s">
        <v>66</v>
      </c>
      <c r="E248" s="9" t="n">
        <v>39065</v>
      </c>
      <c r="F248" s="4" t="s">
        <v>56</v>
      </c>
      <c r="G248" s="4" t="s">
        <v>17</v>
      </c>
      <c r="H248" s="4" t="s">
        <v>57</v>
      </c>
      <c r="I248" s="7" t="n">
        <v>2019</v>
      </c>
      <c r="J248" s="7" t="n">
        <v>2025</v>
      </c>
      <c r="K248" s="4" t="s">
        <v>1980</v>
      </c>
      <c r="L248" s="4" t="s">
        <v>1981</v>
      </c>
      <c r="M248" s="4" t="s">
        <v>1982</v>
      </c>
      <c r="N248" s="4" t="s">
        <v>1983</v>
      </c>
      <c r="O248" s="4" t="s">
        <v>1984</v>
      </c>
      <c r="P248" s="4" t="s">
        <v>73</v>
      </c>
    </row>
    <row r="249" customFormat="false" ht="15" hidden="false" customHeight="false" outlineLevel="0" collapsed="false">
      <c r="A249" s="4" t="s">
        <v>1985</v>
      </c>
      <c r="B249" s="4" t="s">
        <v>1986</v>
      </c>
      <c r="C249" s="4" t="s">
        <v>1987</v>
      </c>
      <c r="D249" s="4" t="s">
        <v>66</v>
      </c>
      <c r="E249" s="9" t="n">
        <v>38333</v>
      </c>
      <c r="F249" s="4" t="s">
        <v>56</v>
      </c>
      <c r="G249" s="4" t="s">
        <v>16</v>
      </c>
      <c r="H249" s="4" t="s">
        <v>67</v>
      </c>
      <c r="I249" s="7" t="n">
        <v>2016</v>
      </c>
      <c r="J249" s="7" t="n">
        <v>2022</v>
      </c>
      <c r="K249" s="4" t="s">
        <v>1988</v>
      </c>
      <c r="L249" s="4" t="s">
        <v>1989</v>
      </c>
      <c r="M249" s="4" t="s">
        <v>1990</v>
      </c>
      <c r="N249" s="4" t="s">
        <v>1991</v>
      </c>
      <c r="O249" s="4" t="s">
        <v>1992</v>
      </c>
      <c r="P249" s="4" t="s">
        <v>52</v>
      </c>
    </row>
    <row r="250" customFormat="false" ht="15" hidden="false" customHeight="false" outlineLevel="0" collapsed="false">
      <c r="A250" s="4" t="s">
        <v>1993</v>
      </c>
      <c r="B250" s="4" t="s">
        <v>1994</v>
      </c>
      <c r="C250" s="4" t="s">
        <v>1995</v>
      </c>
      <c r="D250" s="4" t="s">
        <v>66</v>
      </c>
      <c r="E250" s="9" t="n">
        <v>37805</v>
      </c>
      <c r="F250" s="4" t="s">
        <v>56</v>
      </c>
      <c r="G250" s="4" t="s">
        <v>16</v>
      </c>
      <c r="H250" s="4" t="s">
        <v>67</v>
      </c>
      <c r="I250" s="7" t="n">
        <v>2017</v>
      </c>
      <c r="J250" s="7" t="n">
        <v>2022</v>
      </c>
      <c r="K250" s="4" t="s">
        <v>1996</v>
      </c>
      <c r="L250" s="4" t="s">
        <v>1997</v>
      </c>
      <c r="M250" s="4" t="s">
        <v>1998</v>
      </c>
      <c r="N250" s="4" t="s">
        <v>1999</v>
      </c>
      <c r="O250" s="4" t="s">
        <v>2000</v>
      </c>
      <c r="P250" s="4" t="s">
        <v>52</v>
      </c>
    </row>
    <row r="251" customFormat="false" ht="15" hidden="false" customHeight="false" outlineLevel="0" collapsed="false">
      <c r="A251" s="4" t="s">
        <v>2001</v>
      </c>
      <c r="B251" s="4" t="s">
        <v>2002</v>
      </c>
      <c r="C251" s="4" t="s">
        <v>70</v>
      </c>
      <c r="D251" s="4" t="s">
        <v>44</v>
      </c>
      <c r="E251" s="9" t="n">
        <v>37823</v>
      </c>
      <c r="F251" s="4" t="s">
        <v>56</v>
      </c>
      <c r="G251" s="4" t="s">
        <v>14</v>
      </c>
      <c r="H251" s="4" t="s">
        <v>46</v>
      </c>
      <c r="I251" s="7" t="n">
        <v>2016</v>
      </c>
      <c r="J251" s="7" t="n">
        <v>2021</v>
      </c>
      <c r="K251" s="4" t="s">
        <v>2003</v>
      </c>
      <c r="L251" s="4" t="s">
        <v>2004</v>
      </c>
      <c r="M251" s="4" t="s">
        <v>2005</v>
      </c>
      <c r="N251" s="4" t="s">
        <v>2006</v>
      </c>
      <c r="O251" s="4" t="s">
        <v>2007</v>
      </c>
      <c r="P251" s="4" t="s">
        <v>52</v>
      </c>
    </row>
    <row r="252" customFormat="false" ht="15" hidden="false" customHeight="false" outlineLevel="0" collapsed="false">
      <c r="A252" s="4" t="s">
        <v>2008</v>
      </c>
      <c r="B252" s="4" t="s">
        <v>2009</v>
      </c>
      <c r="C252" s="4" t="s">
        <v>2010</v>
      </c>
      <c r="D252" s="4" t="s">
        <v>44</v>
      </c>
      <c r="E252" s="9" t="n">
        <v>39389</v>
      </c>
      <c r="F252" s="4" t="s">
        <v>56</v>
      </c>
      <c r="G252" s="4" t="s">
        <v>15</v>
      </c>
      <c r="H252" s="4" t="s">
        <v>57</v>
      </c>
      <c r="I252" s="7" t="n">
        <v>2020</v>
      </c>
      <c r="J252" s="7" t="n">
        <v>2025</v>
      </c>
      <c r="K252" s="4" t="s">
        <v>2011</v>
      </c>
      <c r="L252" s="4" t="s">
        <v>2012</v>
      </c>
      <c r="M252" s="4" t="s">
        <v>2013</v>
      </c>
      <c r="N252" s="4" t="s">
        <v>2014</v>
      </c>
      <c r="O252" s="4" t="s">
        <v>2015</v>
      </c>
      <c r="P252" s="4" t="s">
        <v>73</v>
      </c>
    </row>
    <row r="253" customFormat="false" ht="15" hidden="false" customHeight="false" outlineLevel="0" collapsed="false">
      <c r="A253" s="4" t="s">
        <v>2016</v>
      </c>
      <c r="B253" s="4" t="s">
        <v>2017</v>
      </c>
      <c r="C253" s="4" t="s">
        <v>2018</v>
      </c>
      <c r="D253" s="4" t="s">
        <v>44</v>
      </c>
      <c r="E253" s="9" t="n">
        <v>38849</v>
      </c>
      <c r="F253" s="4" t="s">
        <v>142</v>
      </c>
      <c r="G253" s="4" t="s">
        <v>16</v>
      </c>
      <c r="H253" s="4" t="s">
        <v>67</v>
      </c>
      <c r="I253" s="7" t="n">
        <v>2018</v>
      </c>
      <c r="J253" s="7" t="n">
        <v>2024</v>
      </c>
      <c r="K253" s="4" t="s">
        <v>2019</v>
      </c>
      <c r="L253" s="4" t="s">
        <v>2020</v>
      </c>
      <c r="M253" s="4" t="s">
        <v>2021</v>
      </c>
      <c r="N253" s="4" t="s">
        <v>2022</v>
      </c>
      <c r="O253" s="4" t="s">
        <v>2023</v>
      </c>
      <c r="P253" s="4" t="s">
        <v>52</v>
      </c>
    </row>
    <row r="254" customFormat="false" ht="15" hidden="false" customHeight="false" outlineLevel="0" collapsed="false">
      <c r="A254" s="4" t="s">
        <v>2024</v>
      </c>
      <c r="B254" s="4" t="s">
        <v>2025</v>
      </c>
      <c r="C254" s="4" t="s">
        <v>2026</v>
      </c>
      <c r="D254" s="4" t="s">
        <v>66</v>
      </c>
      <c r="E254" s="9" t="n">
        <v>38175</v>
      </c>
      <c r="F254" s="4" t="s">
        <v>77</v>
      </c>
      <c r="G254" s="4" t="s">
        <v>15</v>
      </c>
      <c r="H254" s="4" t="s">
        <v>78</v>
      </c>
      <c r="I254" s="7" t="n">
        <v>2018</v>
      </c>
      <c r="J254" s="7" t="n">
        <v>2023</v>
      </c>
      <c r="K254" s="4" t="s">
        <v>2027</v>
      </c>
      <c r="L254" s="4" t="s">
        <v>2028</v>
      </c>
      <c r="M254" s="4" t="s">
        <v>2029</v>
      </c>
      <c r="N254" s="4" t="s">
        <v>2030</v>
      </c>
      <c r="O254" s="4" t="s">
        <v>2031</v>
      </c>
      <c r="P254" s="4" t="s">
        <v>52</v>
      </c>
    </row>
    <row r="255" customFormat="false" ht="15" hidden="false" customHeight="false" outlineLevel="0" collapsed="false">
      <c r="A255" s="4" t="s">
        <v>2032</v>
      </c>
      <c r="B255" s="4" t="s">
        <v>2033</v>
      </c>
      <c r="C255" s="4" t="s">
        <v>2034</v>
      </c>
      <c r="D255" s="4" t="s">
        <v>44</v>
      </c>
      <c r="E255" s="9" t="n">
        <v>38755</v>
      </c>
      <c r="F255" s="4" t="s">
        <v>56</v>
      </c>
      <c r="G255" s="4" t="s">
        <v>15</v>
      </c>
      <c r="H255" s="4" t="s">
        <v>46</v>
      </c>
      <c r="I255" s="7" t="n">
        <v>2018</v>
      </c>
      <c r="J255" s="7" t="n">
        <v>2024</v>
      </c>
      <c r="K255" s="4" t="s">
        <v>663</v>
      </c>
      <c r="L255" s="4" t="s">
        <v>2035</v>
      </c>
      <c r="M255" s="4" t="s">
        <v>2036</v>
      </c>
      <c r="N255" s="4" t="s">
        <v>2037</v>
      </c>
      <c r="O255" s="4" t="s">
        <v>2038</v>
      </c>
      <c r="P255" s="4" t="s">
        <v>52</v>
      </c>
    </row>
    <row r="256" customFormat="false" ht="15" hidden="false" customHeight="false" outlineLevel="0" collapsed="false">
      <c r="A256" s="4" t="s">
        <v>2039</v>
      </c>
      <c r="B256" s="4" t="s">
        <v>2040</v>
      </c>
      <c r="C256" s="4" t="s">
        <v>2041</v>
      </c>
      <c r="D256" s="4" t="s">
        <v>66</v>
      </c>
      <c r="E256" s="9" t="n">
        <v>38470</v>
      </c>
      <c r="F256" s="4" t="s">
        <v>56</v>
      </c>
      <c r="G256" s="4" t="s">
        <v>17</v>
      </c>
      <c r="H256" s="4" t="s">
        <v>46</v>
      </c>
      <c r="I256" s="7" t="n">
        <v>2017</v>
      </c>
      <c r="J256" s="7" t="n">
        <v>2023</v>
      </c>
      <c r="K256" s="4" t="s">
        <v>2042</v>
      </c>
      <c r="L256" s="4" t="s">
        <v>2043</v>
      </c>
      <c r="M256" s="4" t="s">
        <v>2044</v>
      </c>
      <c r="N256" s="4" t="s">
        <v>2045</v>
      </c>
      <c r="O256" s="4" t="s">
        <v>2046</v>
      </c>
      <c r="P256" s="4" t="s">
        <v>52</v>
      </c>
    </row>
    <row r="257" customFormat="false" ht="15" hidden="false" customHeight="false" outlineLevel="0" collapsed="false">
      <c r="A257" s="4" t="s">
        <v>2047</v>
      </c>
      <c r="B257" s="4" t="s">
        <v>2048</v>
      </c>
      <c r="C257" s="4" t="s">
        <v>2049</v>
      </c>
      <c r="D257" s="4" t="s">
        <v>44</v>
      </c>
      <c r="E257" s="9" t="n">
        <v>38062</v>
      </c>
      <c r="F257" s="4" t="s">
        <v>45</v>
      </c>
      <c r="G257" s="4" t="s">
        <v>14</v>
      </c>
      <c r="H257" s="4" t="s">
        <v>67</v>
      </c>
      <c r="I257" s="7" t="n">
        <v>2018</v>
      </c>
      <c r="J257" s="7" t="n">
        <v>2023</v>
      </c>
      <c r="K257" s="4" t="s">
        <v>2050</v>
      </c>
      <c r="L257" s="4" t="s">
        <v>2051</v>
      </c>
      <c r="M257" s="4" t="s">
        <v>2052</v>
      </c>
      <c r="N257" s="4" t="s">
        <v>2053</v>
      </c>
      <c r="O257" s="4" t="s">
        <v>2054</v>
      </c>
      <c r="P257" s="4" t="s">
        <v>52</v>
      </c>
    </row>
    <row r="258" customFormat="false" ht="15" hidden="false" customHeight="false" outlineLevel="0" collapsed="false">
      <c r="A258" s="4" t="s">
        <v>2055</v>
      </c>
      <c r="B258" s="4" t="s">
        <v>2056</v>
      </c>
      <c r="C258" s="4" t="s">
        <v>2057</v>
      </c>
      <c r="D258" s="4" t="s">
        <v>66</v>
      </c>
      <c r="E258" s="9" t="n">
        <v>37401</v>
      </c>
      <c r="F258" s="4" t="s">
        <v>142</v>
      </c>
      <c r="G258" s="4" t="s">
        <v>14</v>
      </c>
      <c r="H258" s="4" t="s">
        <v>78</v>
      </c>
      <c r="I258" s="7" t="n">
        <v>2016</v>
      </c>
      <c r="J258" s="7" t="n">
        <v>2021</v>
      </c>
      <c r="K258" s="4" t="s">
        <v>2058</v>
      </c>
      <c r="L258" s="4" t="s">
        <v>2059</v>
      </c>
      <c r="M258" s="4" t="s">
        <v>2060</v>
      </c>
      <c r="N258" s="4" t="s">
        <v>2061</v>
      </c>
      <c r="O258" s="4" t="s">
        <v>2062</v>
      </c>
      <c r="P258" s="4" t="s">
        <v>52</v>
      </c>
    </row>
    <row r="259" customFormat="false" ht="15" hidden="false" customHeight="false" outlineLevel="0" collapsed="false">
      <c r="A259" s="4" t="s">
        <v>2063</v>
      </c>
      <c r="B259" s="4" t="s">
        <v>2064</v>
      </c>
      <c r="C259" s="4" t="s">
        <v>2065</v>
      </c>
      <c r="D259" s="4" t="s">
        <v>66</v>
      </c>
      <c r="E259" s="9" t="n">
        <v>37730</v>
      </c>
      <c r="F259" s="4" t="s">
        <v>56</v>
      </c>
      <c r="G259" s="4" t="s">
        <v>16</v>
      </c>
      <c r="H259" s="4" t="s">
        <v>78</v>
      </c>
      <c r="I259" s="7" t="n">
        <v>2016</v>
      </c>
      <c r="J259" s="7" t="n">
        <v>2022</v>
      </c>
      <c r="K259" s="4" t="s">
        <v>2066</v>
      </c>
      <c r="L259" s="4" t="s">
        <v>2067</v>
      </c>
      <c r="M259" s="4" t="s">
        <v>2068</v>
      </c>
      <c r="N259" s="4" t="s">
        <v>2069</v>
      </c>
      <c r="O259" s="4" t="s">
        <v>2070</v>
      </c>
      <c r="P259" s="4" t="s">
        <v>52</v>
      </c>
    </row>
    <row r="260" customFormat="false" ht="15" hidden="false" customHeight="false" outlineLevel="0" collapsed="false">
      <c r="A260" s="4" t="s">
        <v>2071</v>
      </c>
      <c r="B260" s="4" t="s">
        <v>2072</v>
      </c>
      <c r="C260" s="4" t="s">
        <v>2041</v>
      </c>
      <c r="D260" s="4" t="s">
        <v>66</v>
      </c>
      <c r="E260" s="9" t="n">
        <v>38125</v>
      </c>
      <c r="F260" s="4" t="s">
        <v>142</v>
      </c>
      <c r="G260" s="4" t="s">
        <v>17</v>
      </c>
      <c r="H260" s="4" t="s">
        <v>57</v>
      </c>
      <c r="I260" s="7" t="n">
        <v>2018</v>
      </c>
      <c r="J260" s="7" t="n">
        <v>2023</v>
      </c>
      <c r="K260" s="4" t="s">
        <v>2073</v>
      </c>
      <c r="L260" s="4" t="s">
        <v>2074</v>
      </c>
      <c r="M260" s="4" t="s">
        <v>1612</v>
      </c>
      <c r="N260" s="4" t="s">
        <v>2075</v>
      </c>
      <c r="O260" s="4" t="s">
        <v>2076</v>
      </c>
      <c r="P260" s="4" t="s">
        <v>52</v>
      </c>
    </row>
    <row r="261" customFormat="false" ht="15" hidden="false" customHeight="false" outlineLevel="0" collapsed="false">
      <c r="A261" s="4" t="s">
        <v>2077</v>
      </c>
      <c r="B261" s="4" t="s">
        <v>2078</v>
      </c>
      <c r="C261" s="4" t="s">
        <v>2079</v>
      </c>
      <c r="D261" s="4" t="s">
        <v>66</v>
      </c>
      <c r="E261" s="9" t="n">
        <v>39137</v>
      </c>
      <c r="F261" s="4" t="s">
        <v>142</v>
      </c>
      <c r="G261" s="4" t="s">
        <v>16</v>
      </c>
      <c r="H261" s="4" t="s">
        <v>67</v>
      </c>
      <c r="I261" s="7" t="n">
        <v>2019</v>
      </c>
      <c r="J261" s="7" t="n">
        <v>2025</v>
      </c>
      <c r="K261" s="4" t="s">
        <v>2080</v>
      </c>
      <c r="L261" s="4" t="s">
        <v>2081</v>
      </c>
      <c r="M261" s="4" t="s">
        <v>2082</v>
      </c>
      <c r="N261" s="4" t="s">
        <v>2083</v>
      </c>
      <c r="O261" s="4" t="s">
        <v>2084</v>
      </c>
      <c r="P261" s="4" t="s">
        <v>73</v>
      </c>
    </row>
    <row r="262" customFormat="false" ht="15" hidden="false" customHeight="false" outlineLevel="0" collapsed="false">
      <c r="A262" s="4" t="s">
        <v>2085</v>
      </c>
      <c r="B262" s="4" t="s">
        <v>2086</v>
      </c>
      <c r="C262" s="4" t="s">
        <v>2087</v>
      </c>
      <c r="D262" s="4" t="s">
        <v>44</v>
      </c>
      <c r="E262" s="9" t="n">
        <v>37758</v>
      </c>
      <c r="F262" s="4" t="s">
        <v>142</v>
      </c>
      <c r="G262" s="4" t="s">
        <v>17</v>
      </c>
      <c r="H262" s="4" t="s">
        <v>67</v>
      </c>
      <c r="I262" s="7" t="n">
        <v>2016</v>
      </c>
      <c r="J262" s="7" t="n">
        <v>2022</v>
      </c>
      <c r="K262" s="4" t="s">
        <v>2088</v>
      </c>
      <c r="L262" s="4" t="s">
        <v>2089</v>
      </c>
      <c r="M262" s="4" t="s">
        <v>2090</v>
      </c>
      <c r="N262" s="4" t="s">
        <v>2091</v>
      </c>
      <c r="O262" s="4" t="s">
        <v>2092</v>
      </c>
      <c r="P262" s="4" t="s">
        <v>52</v>
      </c>
    </row>
    <row r="263" customFormat="false" ht="15" hidden="false" customHeight="false" outlineLevel="0" collapsed="false">
      <c r="A263" s="4" t="s">
        <v>2093</v>
      </c>
      <c r="B263" s="4" t="s">
        <v>2094</v>
      </c>
      <c r="C263" s="4" t="s">
        <v>2095</v>
      </c>
      <c r="D263" s="4" t="s">
        <v>44</v>
      </c>
      <c r="E263" s="9" t="n">
        <v>38363</v>
      </c>
      <c r="F263" s="4" t="s">
        <v>77</v>
      </c>
      <c r="G263" s="4" t="s">
        <v>15</v>
      </c>
      <c r="H263" s="4" t="s">
        <v>57</v>
      </c>
      <c r="I263" s="7" t="n">
        <v>2017</v>
      </c>
      <c r="J263" s="7" t="n">
        <v>2023</v>
      </c>
      <c r="K263" s="4" t="s">
        <v>2096</v>
      </c>
      <c r="L263" s="4" t="s">
        <v>2097</v>
      </c>
      <c r="M263" s="4" t="s">
        <v>493</v>
      </c>
      <c r="N263" s="4" t="s">
        <v>2098</v>
      </c>
      <c r="O263" s="4" t="s">
        <v>2099</v>
      </c>
      <c r="P263" s="4" t="s">
        <v>52</v>
      </c>
    </row>
    <row r="264" customFormat="false" ht="15" hidden="false" customHeight="false" outlineLevel="0" collapsed="false">
      <c r="A264" s="4" t="s">
        <v>2100</v>
      </c>
      <c r="B264" s="4" t="s">
        <v>2101</v>
      </c>
      <c r="C264" s="4" t="s">
        <v>2102</v>
      </c>
      <c r="D264" s="4" t="s">
        <v>66</v>
      </c>
      <c r="E264" s="9" t="n">
        <v>38071</v>
      </c>
      <c r="F264" s="4" t="s">
        <v>56</v>
      </c>
      <c r="G264" s="4" t="s">
        <v>17</v>
      </c>
      <c r="H264" s="4" t="s">
        <v>78</v>
      </c>
      <c r="I264" s="7" t="n">
        <v>2018</v>
      </c>
      <c r="J264" s="7" t="n">
        <v>2023</v>
      </c>
      <c r="K264" s="4" t="s">
        <v>2103</v>
      </c>
      <c r="L264" s="4" t="s">
        <v>2104</v>
      </c>
      <c r="M264" s="4" t="s">
        <v>961</v>
      </c>
      <c r="N264" s="4" t="s">
        <v>2105</v>
      </c>
      <c r="O264" s="4" t="s">
        <v>2106</v>
      </c>
      <c r="P264" s="4" t="s">
        <v>52</v>
      </c>
    </row>
    <row r="265" customFormat="false" ht="15" hidden="false" customHeight="false" outlineLevel="0" collapsed="false">
      <c r="A265" s="4" t="s">
        <v>2107</v>
      </c>
      <c r="B265" s="4" t="s">
        <v>2108</v>
      </c>
      <c r="C265" s="4" t="s">
        <v>2109</v>
      </c>
      <c r="D265" s="4" t="s">
        <v>66</v>
      </c>
      <c r="E265" s="9" t="n">
        <v>38667</v>
      </c>
      <c r="F265" s="4" t="s">
        <v>56</v>
      </c>
      <c r="G265" s="4" t="s">
        <v>16</v>
      </c>
      <c r="H265" s="4" t="s">
        <v>46</v>
      </c>
      <c r="I265" s="7" t="n">
        <v>2019</v>
      </c>
      <c r="J265" s="7" t="n">
        <v>2024</v>
      </c>
      <c r="K265" s="4" t="s">
        <v>2110</v>
      </c>
      <c r="L265" s="4" t="s">
        <v>2111</v>
      </c>
      <c r="M265" s="4" t="s">
        <v>2112</v>
      </c>
      <c r="N265" s="4" t="s">
        <v>2113</v>
      </c>
      <c r="O265" s="4" t="s">
        <v>2114</v>
      </c>
      <c r="P265" s="4" t="s">
        <v>52</v>
      </c>
    </row>
    <row r="266" customFormat="false" ht="15" hidden="false" customHeight="false" outlineLevel="0" collapsed="false">
      <c r="A266" s="4" t="s">
        <v>2115</v>
      </c>
      <c r="B266" s="4" t="s">
        <v>2116</v>
      </c>
      <c r="C266" s="4" t="s">
        <v>2117</v>
      </c>
      <c r="D266" s="4" t="s">
        <v>66</v>
      </c>
      <c r="E266" s="9" t="n">
        <v>38298</v>
      </c>
      <c r="F266" s="4" t="s">
        <v>56</v>
      </c>
      <c r="G266" s="4" t="s">
        <v>14</v>
      </c>
      <c r="H266" s="4" t="s">
        <v>57</v>
      </c>
      <c r="I266" s="7" t="n">
        <v>2018</v>
      </c>
      <c r="J266" s="7" t="n">
        <v>2023</v>
      </c>
      <c r="K266" s="4" t="s">
        <v>2118</v>
      </c>
      <c r="L266" s="4" t="s">
        <v>2119</v>
      </c>
      <c r="M266" s="4" t="s">
        <v>2120</v>
      </c>
      <c r="N266" s="4" t="s">
        <v>2121</v>
      </c>
      <c r="O266" s="4" t="s">
        <v>2122</v>
      </c>
      <c r="P266" s="4" t="s">
        <v>52</v>
      </c>
    </row>
    <row r="267" customFormat="false" ht="15" hidden="false" customHeight="false" outlineLevel="0" collapsed="false">
      <c r="A267" s="4" t="s">
        <v>2123</v>
      </c>
      <c r="B267" s="4" t="s">
        <v>2124</v>
      </c>
      <c r="C267" s="4" t="s">
        <v>2125</v>
      </c>
      <c r="D267" s="4" t="s">
        <v>44</v>
      </c>
      <c r="E267" s="9" t="n">
        <v>37815</v>
      </c>
      <c r="F267" s="4" t="s">
        <v>56</v>
      </c>
      <c r="G267" s="4" t="s">
        <v>15</v>
      </c>
      <c r="H267" s="4" t="s">
        <v>67</v>
      </c>
      <c r="I267" s="7" t="n">
        <v>2016</v>
      </c>
      <c r="J267" s="7" t="n">
        <v>2021</v>
      </c>
      <c r="K267" s="4" t="s">
        <v>2126</v>
      </c>
      <c r="L267" s="4" t="s">
        <v>2127</v>
      </c>
      <c r="M267" s="4" t="s">
        <v>2128</v>
      </c>
      <c r="N267" s="4" t="s">
        <v>2129</v>
      </c>
      <c r="O267" s="4" t="s">
        <v>2130</v>
      </c>
      <c r="P267" s="4" t="s">
        <v>52</v>
      </c>
    </row>
    <row r="268" customFormat="false" ht="15" hidden="false" customHeight="false" outlineLevel="0" collapsed="false">
      <c r="A268" s="4" t="s">
        <v>2131</v>
      </c>
      <c r="B268" s="4" t="s">
        <v>2132</v>
      </c>
      <c r="C268" s="4" t="s">
        <v>2133</v>
      </c>
      <c r="D268" s="4" t="s">
        <v>66</v>
      </c>
      <c r="E268" s="9" t="n">
        <v>38378</v>
      </c>
      <c r="F268" s="4" t="s">
        <v>142</v>
      </c>
      <c r="G268" s="4" t="s">
        <v>14</v>
      </c>
      <c r="H268" s="4" t="s">
        <v>67</v>
      </c>
      <c r="I268" s="7" t="n">
        <v>2018</v>
      </c>
      <c r="J268" s="7" t="n">
        <v>2023</v>
      </c>
      <c r="K268" s="4" t="s">
        <v>2134</v>
      </c>
      <c r="L268" s="4" t="s">
        <v>2135</v>
      </c>
      <c r="M268" s="4" t="s">
        <v>2136</v>
      </c>
      <c r="N268" s="4" t="s">
        <v>2137</v>
      </c>
      <c r="O268" s="4" t="s">
        <v>2138</v>
      </c>
      <c r="P268" s="4" t="s">
        <v>52</v>
      </c>
    </row>
    <row r="269" customFormat="false" ht="15" hidden="false" customHeight="false" outlineLevel="0" collapsed="false">
      <c r="A269" s="4" t="s">
        <v>2139</v>
      </c>
      <c r="B269" s="4" t="s">
        <v>2140</v>
      </c>
      <c r="C269" s="4" t="s">
        <v>2141</v>
      </c>
      <c r="D269" s="4" t="s">
        <v>44</v>
      </c>
      <c r="E269" s="9" t="n">
        <v>37761</v>
      </c>
      <c r="F269" s="4" t="s">
        <v>77</v>
      </c>
      <c r="G269" s="4" t="s">
        <v>14</v>
      </c>
      <c r="H269" s="4" t="s">
        <v>78</v>
      </c>
      <c r="I269" s="7" t="n">
        <v>2016</v>
      </c>
      <c r="J269" s="7" t="n">
        <v>2021</v>
      </c>
      <c r="K269" s="4" t="s">
        <v>2142</v>
      </c>
      <c r="L269" s="4" t="s">
        <v>2143</v>
      </c>
      <c r="M269" s="4" t="s">
        <v>2034</v>
      </c>
      <c r="N269" s="4" t="s">
        <v>2144</v>
      </c>
      <c r="O269" s="4" t="s">
        <v>2145</v>
      </c>
      <c r="P269" s="4" t="s">
        <v>52</v>
      </c>
    </row>
    <row r="270" customFormat="false" ht="15" hidden="false" customHeight="false" outlineLevel="0" collapsed="false">
      <c r="A270" s="4" t="s">
        <v>2146</v>
      </c>
      <c r="B270" s="4" t="s">
        <v>2147</v>
      </c>
      <c r="C270" s="4" t="s">
        <v>2148</v>
      </c>
      <c r="D270" s="4" t="s">
        <v>66</v>
      </c>
      <c r="E270" s="9" t="n">
        <v>37873</v>
      </c>
      <c r="F270" s="4" t="s">
        <v>45</v>
      </c>
      <c r="G270" s="4" t="s">
        <v>15</v>
      </c>
      <c r="H270" s="4" t="s">
        <v>57</v>
      </c>
      <c r="I270" s="7" t="n">
        <v>2016</v>
      </c>
      <c r="J270" s="7" t="n">
        <v>2021</v>
      </c>
      <c r="K270" s="4" t="s">
        <v>2149</v>
      </c>
      <c r="L270" s="4" t="s">
        <v>2150</v>
      </c>
      <c r="M270" s="4" t="s">
        <v>2151</v>
      </c>
      <c r="N270" s="4" t="s">
        <v>2152</v>
      </c>
      <c r="O270" s="4" t="s">
        <v>2153</v>
      </c>
      <c r="P270" s="4" t="s">
        <v>52</v>
      </c>
    </row>
    <row r="271" customFormat="false" ht="15" hidden="false" customHeight="false" outlineLevel="0" collapsed="false">
      <c r="A271" s="4" t="s">
        <v>2154</v>
      </c>
      <c r="B271" s="4" t="s">
        <v>2155</v>
      </c>
      <c r="C271" s="4" t="s">
        <v>1331</v>
      </c>
      <c r="D271" s="4" t="s">
        <v>44</v>
      </c>
      <c r="E271" s="9" t="n">
        <v>38915</v>
      </c>
      <c r="F271" s="4" t="s">
        <v>56</v>
      </c>
      <c r="G271" s="4" t="s">
        <v>15</v>
      </c>
      <c r="H271" s="4" t="s">
        <v>57</v>
      </c>
      <c r="I271" s="7" t="n">
        <v>2018</v>
      </c>
      <c r="J271" s="7" t="n">
        <v>2024</v>
      </c>
      <c r="K271" s="4" t="s">
        <v>2156</v>
      </c>
      <c r="L271" s="4" t="s">
        <v>2157</v>
      </c>
      <c r="M271" s="4" t="s">
        <v>2158</v>
      </c>
      <c r="N271" s="4" t="s">
        <v>2159</v>
      </c>
      <c r="O271" s="4" t="s">
        <v>2160</v>
      </c>
      <c r="P271" s="4" t="s">
        <v>52</v>
      </c>
    </row>
    <row r="272" customFormat="false" ht="15" hidden="false" customHeight="false" outlineLevel="0" collapsed="false">
      <c r="A272" s="4" t="s">
        <v>2161</v>
      </c>
      <c r="B272" s="4" t="s">
        <v>2162</v>
      </c>
      <c r="C272" s="4" t="s">
        <v>2163</v>
      </c>
      <c r="D272" s="4" t="s">
        <v>66</v>
      </c>
      <c r="E272" s="9" t="n">
        <v>39194</v>
      </c>
      <c r="F272" s="4" t="s">
        <v>142</v>
      </c>
      <c r="G272" s="4" t="s">
        <v>17</v>
      </c>
      <c r="H272" s="4" t="s">
        <v>57</v>
      </c>
      <c r="I272" s="7" t="n">
        <v>2019</v>
      </c>
      <c r="J272" s="7" t="n">
        <v>2025</v>
      </c>
      <c r="K272" s="4" t="s">
        <v>2164</v>
      </c>
      <c r="L272" s="4" t="s">
        <v>2165</v>
      </c>
      <c r="M272" s="4" t="s">
        <v>2166</v>
      </c>
      <c r="N272" s="4" t="s">
        <v>2167</v>
      </c>
      <c r="O272" s="4" t="s">
        <v>2168</v>
      </c>
      <c r="P272" s="4" t="s">
        <v>73</v>
      </c>
    </row>
    <row r="273" customFormat="false" ht="15" hidden="false" customHeight="false" outlineLevel="0" collapsed="false">
      <c r="A273" s="4" t="s">
        <v>2169</v>
      </c>
      <c r="B273" s="4" t="s">
        <v>2170</v>
      </c>
      <c r="C273" s="4" t="s">
        <v>2171</v>
      </c>
      <c r="D273" s="4" t="s">
        <v>66</v>
      </c>
      <c r="E273" s="9" t="n">
        <v>37990</v>
      </c>
      <c r="F273" s="4" t="s">
        <v>77</v>
      </c>
      <c r="G273" s="4" t="s">
        <v>16</v>
      </c>
      <c r="H273" s="4" t="s">
        <v>46</v>
      </c>
      <c r="I273" s="7" t="n">
        <v>2017</v>
      </c>
      <c r="J273" s="7" t="n">
        <v>2023</v>
      </c>
      <c r="K273" s="4" t="s">
        <v>2172</v>
      </c>
      <c r="L273" s="4" t="s">
        <v>2173</v>
      </c>
      <c r="M273" s="4" t="s">
        <v>2174</v>
      </c>
      <c r="N273" s="4" t="s">
        <v>2175</v>
      </c>
      <c r="O273" s="4" t="s">
        <v>2176</v>
      </c>
      <c r="P273" s="4" t="s">
        <v>52</v>
      </c>
    </row>
    <row r="274" customFormat="false" ht="15" hidden="false" customHeight="false" outlineLevel="0" collapsed="false">
      <c r="A274" s="4" t="s">
        <v>2177</v>
      </c>
      <c r="B274" s="4" t="s">
        <v>2178</v>
      </c>
      <c r="C274" s="4" t="s">
        <v>232</v>
      </c>
      <c r="D274" s="4" t="s">
        <v>44</v>
      </c>
      <c r="E274" s="9" t="n">
        <v>38511</v>
      </c>
      <c r="F274" s="4" t="s">
        <v>56</v>
      </c>
      <c r="G274" s="4" t="s">
        <v>17</v>
      </c>
      <c r="H274" s="4" t="s">
        <v>46</v>
      </c>
      <c r="I274" s="7" t="n">
        <v>2017</v>
      </c>
      <c r="J274" s="7" t="n">
        <v>2023</v>
      </c>
      <c r="K274" s="4" t="s">
        <v>2179</v>
      </c>
      <c r="L274" s="4" t="s">
        <v>2180</v>
      </c>
      <c r="M274" s="4" t="s">
        <v>2181</v>
      </c>
      <c r="N274" s="4" t="s">
        <v>2182</v>
      </c>
      <c r="O274" s="4" t="s">
        <v>2183</v>
      </c>
      <c r="P274" s="4" t="s">
        <v>52</v>
      </c>
    </row>
    <row r="275" customFormat="false" ht="15" hidden="false" customHeight="false" outlineLevel="0" collapsed="false">
      <c r="A275" s="4" t="s">
        <v>2184</v>
      </c>
      <c r="B275" s="4" t="s">
        <v>2185</v>
      </c>
      <c r="C275" s="4" t="s">
        <v>2186</v>
      </c>
      <c r="D275" s="4" t="s">
        <v>44</v>
      </c>
      <c r="E275" s="9" t="n">
        <v>39207</v>
      </c>
      <c r="F275" s="4" t="s">
        <v>77</v>
      </c>
      <c r="G275" s="4" t="s">
        <v>15</v>
      </c>
      <c r="H275" s="4" t="s">
        <v>46</v>
      </c>
      <c r="I275" s="7" t="n">
        <v>2019</v>
      </c>
      <c r="J275" s="7" t="n">
        <v>2025</v>
      </c>
      <c r="K275" s="4" t="s">
        <v>2187</v>
      </c>
      <c r="L275" s="4" t="s">
        <v>2188</v>
      </c>
      <c r="M275" s="4" t="s">
        <v>2189</v>
      </c>
      <c r="N275" s="4" t="s">
        <v>2190</v>
      </c>
      <c r="O275" s="4" t="s">
        <v>2191</v>
      </c>
      <c r="P275" s="4" t="s">
        <v>73</v>
      </c>
    </row>
    <row r="276" customFormat="false" ht="15" hidden="false" customHeight="false" outlineLevel="0" collapsed="false">
      <c r="A276" s="4" t="s">
        <v>2192</v>
      </c>
      <c r="B276" s="4" t="s">
        <v>2193</v>
      </c>
      <c r="C276" s="4" t="s">
        <v>2194</v>
      </c>
      <c r="D276" s="4" t="s">
        <v>66</v>
      </c>
      <c r="E276" s="9" t="n">
        <v>38156</v>
      </c>
      <c r="F276" s="4" t="s">
        <v>77</v>
      </c>
      <c r="G276" s="4" t="s">
        <v>18</v>
      </c>
      <c r="H276" s="4" t="s">
        <v>78</v>
      </c>
      <c r="I276" s="7" t="n">
        <v>2017</v>
      </c>
      <c r="J276" s="7" t="n">
        <v>2023</v>
      </c>
      <c r="K276" s="4" t="s">
        <v>2195</v>
      </c>
      <c r="L276" s="4" t="s">
        <v>2196</v>
      </c>
      <c r="M276" s="4" t="s">
        <v>2197</v>
      </c>
      <c r="N276" s="4" t="s">
        <v>2198</v>
      </c>
      <c r="O276" s="4" t="s">
        <v>2199</v>
      </c>
      <c r="P276" s="4" t="s">
        <v>52</v>
      </c>
    </row>
    <row r="277" customFormat="false" ht="15" hidden="false" customHeight="false" outlineLevel="0" collapsed="false">
      <c r="A277" s="4" t="s">
        <v>2200</v>
      </c>
      <c r="B277" s="4" t="s">
        <v>2201</v>
      </c>
      <c r="C277" s="4" t="s">
        <v>2202</v>
      </c>
      <c r="D277" s="4" t="s">
        <v>66</v>
      </c>
      <c r="E277" s="9" t="n">
        <v>38671</v>
      </c>
      <c r="F277" s="4" t="s">
        <v>56</v>
      </c>
      <c r="G277" s="4" t="s">
        <v>16</v>
      </c>
      <c r="H277" s="4" t="s">
        <v>78</v>
      </c>
      <c r="I277" s="7" t="n">
        <v>2018</v>
      </c>
      <c r="J277" s="7" t="n">
        <v>2024</v>
      </c>
      <c r="K277" s="4" t="s">
        <v>2203</v>
      </c>
      <c r="L277" s="4" t="s">
        <v>2204</v>
      </c>
      <c r="M277" s="4" t="s">
        <v>2205</v>
      </c>
      <c r="N277" s="4" t="s">
        <v>2206</v>
      </c>
      <c r="O277" s="4" t="s">
        <v>2207</v>
      </c>
      <c r="P277" s="4" t="s">
        <v>52</v>
      </c>
    </row>
    <row r="278" customFormat="false" ht="15" hidden="false" customHeight="false" outlineLevel="0" collapsed="false">
      <c r="A278" s="4" t="s">
        <v>2208</v>
      </c>
      <c r="B278" s="4" t="s">
        <v>2209</v>
      </c>
      <c r="C278" s="4" t="s">
        <v>2210</v>
      </c>
      <c r="D278" s="4" t="s">
        <v>66</v>
      </c>
      <c r="E278" s="9" t="n">
        <v>37389</v>
      </c>
      <c r="F278" s="4" t="s">
        <v>45</v>
      </c>
      <c r="G278" s="4" t="s">
        <v>15</v>
      </c>
      <c r="H278" s="4" t="s">
        <v>78</v>
      </c>
      <c r="I278" s="7" t="n">
        <v>2016</v>
      </c>
      <c r="J278" s="7" t="n">
        <v>2021</v>
      </c>
      <c r="K278" s="4" t="s">
        <v>2211</v>
      </c>
      <c r="L278" s="4" t="s">
        <v>2212</v>
      </c>
      <c r="M278" s="4" t="s">
        <v>2213</v>
      </c>
      <c r="N278" s="4" t="s">
        <v>2214</v>
      </c>
      <c r="O278" s="4" t="s">
        <v>2215</v>
      </c>
      <c r="P278" s="4" t="s">
        <v>52</v>
      </c>
    </row>
    <row r="279" customFormat="false" ht="15" hidden="false" customHeight="false" outlineLevel="0" collapsed="false">
      <c r="A279" s="4" t="s">
        <v>2216</v>
      </c>
      <c r="B279" s="4" t="s">
        <v>2217</v>
      </c>
      <c r="C279" s="4" t="s">
        <v>2218</v>
      </c>
      <c r="D279" s="4" t="s">
        <v>66</v>
      </c>
      <c r="E279" s="9" t="n">
        <v>38847</v>
      </c>
      <c r="F279" s="4" t="s">
        <v>77</v>
      </c>
      <c r="G279" s="4" t="s">
        <v>16</v>
      </c>
      <c r="H279" s="4" t="s">
        <v>67</v>
      </c>
      <c r="I279" s="7" t="n">
        <v>2020</v>
      </c>
      <c r="J279" s="7" t="n">
        <v>2025</v>
      </c>
      <c r="K279" s="4" t="s">
        <v>2219</v>
      </c>
      <c r="L279" s="4" t="s">
        <v>2220</v>
      </c>
      <c r="M279" s="4" t="s">
        <v>1511</v>
      </c>
      <c r="N279" s="4" t="s">
        <v>2221</v>
      </c>
      <c r="O279" s="4" t="s">
        <v>2222</v>
      </c>
      <c r="P279" s="4" t="s">
        <v>52</v>
      </c>
    </row>
    <row r="280" customFormat="false" ht="15" hidden="false" customHeight="false" outlineLevel="0" collapsed="false">
      <c r="A280" s="4" t="s">
        <v>2223</v>
      </c>
      <c r="B280" s="4" t="s">
        <v>2224</v>
      </c>
      <c r="C280" s="4" t="s">
        <v>1636</v>
      </c>
      <c r="D280" s="4" t="s">
        <v>44</v>
      </c>
      <c r="E280" s="9" t="n">
        <v>38901</v>
      </c>
      <c r="F280" s="4" t="s">
        <v>56</v>
      </c>
      <c r="G280" s="4" t="s">
        <v>15</v>
      </c>
      <c r="H280" s="4" t="s">
        <v>46</v>
      </c>
      <c r="I280" s="7" t="n">
        <v>2018</v>
      </c>
      <c r="J280" s="7" t="n">
        <v>2024</v>
      </c>
      <c r="K280" s="4" t="s">
        <v>2225</v>
      </c>
      <c r="L280" s="4" t="s">
        <v>2226</v>
      </c>
      <c r="M280" s="4" t="s">
        <v>2227</v>
      </c>
      <c r="N280" s="4" t="s">
        <v>2228</v>
      </c>
      <c r="O280" s="4" t="s">
        <v>2229</v>
      </c>
      <c r="P280" s="4" t="s">
        <v>52</v>
      </c>
    </row>
    <row r="281" customFormat="false" ht="15" hidden="false" customHeight="false" outlineLevel="0" collapsed="false">
      <c r="A281" s="4" t="s">
        <v>2230</v>
      </c>
      <c r="B281" s="4" t="s">
        <v>2231</v>
      </c>
      <c r="C281" s="4" t="s">
        <v>2232</v>
      </c>
      <c r="D281" s="4" t="s">
        <v>44</v>
      </c>
      <c r="E281" s="9" t="n">
        <v>38730</v>
      </c>
      <c r="F281" s="4" t="s">
        <v>56</v>
      </c>
      <c r="G281" s="4" t="s">
        <v>16</v>
      </c>
      <c r="H281" s="4" t="s">
        <v>67</v>
      </c>
      <c r="I281" s="7" t="n">
        <v>2020</v>
      </c>
      <c r="J281" s="7" t="n">
        <v>2025</v>
      </c>
      <c r="K281" s="4" t="s">
        <v>2233</v>
      </c>
      <c r="L281" s="4" t="s">
        <v>2234</v>
      </c>
      <c r="M281" s="4" t="s">
        <v>2235</v>
      </c>
      <c r="N281" s="4" t="s">
        <v>2236</v>
      </c>
      <c r="O281" s="4" t="s">
        <v>2237</v>
      </c>
      <c r="P281" s="4" t="s">
        <v>73</v>
      </c>
    </row>
    <row r="282" customFormat="false" ht="15" hidden="false" customHeight="false" outlineLevel="0" collapsed="false">
      <c r="A282" s="4" t="s">
        <v>2238</v>
      </c>
      <c r="B282" s="4" t="s">
        <v>2239</v>
      </c>
      <c r="C282" s="4" t="s">
        <v>2240</v>
      </c>
      <c r="D282" s="4" t="s">
        <v>44</v>
      </c>
      <c r="E282" s="9" t="n">
        <v>37510</v>
      </c>
      <c r="F282" s="4" t="s">
        <v>142</v>
      </c>
      <c r="G282" s="4" t="s">
        <v>17</v>
      </c>
      <c r="H282" s="4" t="s">
        <v>78</v>
      </c>
      <c r="I282" s="7" t="n">
        <v>2016</v>
      </c>
      <c r="J282" s="7" t="n">
        <v>2021</v>
      </c>
      <c r="K282" s="4" t="s">
        <v>2241</v>
      </c>
      <c r="L282" s="4" t="s">
        <v>2242</v>
      </c>
      <c r="M282" s="4" t="s">
        <v>2243</v>
      </c>
      <c r="N282" s="4" t="s">
        <v>2244</v>
      </c>
      <c r="O282" s="4" t="s">
        <v>2245</v>
      </c>
      <c r="P282" s="4" t="s">
        <v>52</v>
      </c>
    </row>
    <row r="283" customFormat="false" ht="15" hidden="false" customHeight="false" outlineLevel="0" collapsed="false">
      <c r="A283" s="4" t="s">
        <v>2246</v>
      </c>
      <c r="B283" s="4" t="s">
        <v>2247</v>
      </c>
      <c r="C283" s="4" t="s">
        <v>634</v>
      </c>
      <c r="D283" s="4" t="s">
        <v>66</v>
      </c>
      <c r="E283" s="9" t="n">
        <v>38463</v>
      </c>
      <c r="F283" s="4" t="s">
        <v>56</v>
      </c>
      <c r="G283" s="4" t="s">
        <v>15</v>
      </c>
      <c r="H283" s="4" t="s">
        <v>67</v>
      </c>
      <c r="I283" s="7" t="n">
        <v>2018</v>
      </c>
      <c r="J283" s="7" t="n">
        <v>2023</v>
      </c>
      <c r="K283" s="4" t="s">
        <v>2248</v>
      </c>
      <c r="L283" s="4" t="s">
        <v>2249</v>
      </c>
      <c r="M283" s="4" t="s">
        <v>2250</v>
      </c>
      <c r="N283" s="4" t="s">
        <v>2251</v>
      </c>
      <c r="O283" s="4" t="s">
        <v>2252</v>
      </c>
      <c r="P283" s="4" t="s">
        <v>52</v>
      </c>
    </row>
    <row r="284" customFormat="false" ht="15" hidden="false" customHeight="false" outlineLevel="0" collapsed="false">
      <c r="A284" s="4" t="s">
        <v>2253</v>
      </c>
      <c r="B284" s="4" t="s">
        <v>2254</v>
      </c>
      <c r="C284" s="4" t="s">
        <v>2255</v>
      </c>
      <c r="D284" s="4" t="s">
        <v>66</v>
      </c>
      <c r="E284" s="9" t="n">
        <v>38582</v>
      </c>
      <c r="F284" s="4" t="s">
        <v>77</v>
      </c>
      <c r="G284" s="4" t="s">
        <v>14</v>
      </c>
      <c r="H284" s="4" t="s">
        <v>46</v>
      </c>
      <c r="I284" s="7" t="n">
        <v>2018</v>
      </c>
      <c r="J284" s="7" t="n">
        <v>2024</v>
      </c>
      <c r="K284" s="4" t="s">
        <v>2256</v>
      </c>
      <c r="L284" s="4" t="s">
        <v>2257</v>
      </c>
      <c r="M284" s="4" t="s">
        <v>2258</v>
      </c>
      <c r="N284" s="4" t="s">
        <v>2259</v>
      </c>
      <c r="O284" s="4" t="s">
        <v>2260</v>
      </c>
      <c r="P284" s="4" t="s">
        <v>52</v>
      </c>
    </row>
    <row r="285" customFormat="false" ht="15" hidden="false" customHeight="false" outlineLevel="0" collapsed="false">
      <c r="A285" s="4" t="s">
        <v>2261</v>
      </c>
      <c r="B285" s="4" t="s">
        <v>2262</v>
      </c>
      <c r="C285" s="4" t="s">
        <v>2263</v>
      </c>
      <c r="D285" s="4" t="s">
        <v>66</v>
      </c>
      <c r="E285" s="9" t="n">
        <v>37357</v>
      </c>
      <c r="F285" s="4" t="s">
        <v>142</v>
      </c>
      <c r="G285" s="4" t="s">
        <v>15</v>
      </c>
      <c r="H285" s="4" t="s">
        <v>57</v>
      </c>
      <c r="I285" s="7" t="n">
        <v>2016</v>
      </c>
      <c r="J285" s="7" t="n">
        <v>2021</v>
      </c>
      <c r="K285" s="4" t="s">
        <v>2264</v>
      </c>
      <c r="L285" s="4" t="s">
        <v>2265</v>
      </c>
      <c r="M285" s="4" t="s">
        <v>1839</v>
      </c>
      <c r="N285" s="4" t="s">
        <v>2266</v>
      </c>
      <c r="O285" s="4" t="s">
        <v>2267</v>
      </c>
      <c r="P285" s="4" t="s">
        <v>52</v>
      </c>
    </row>
    <row r="286" customFormat="false" ht="15" hidden="false" customHeight="false" outlineLevel="0" collapsed="false">
      <c r="A286" s="4" t="s">
        <v>2268</v>
      </c>
      <c r="B286" s="4" t="s">
        <v>2269</v>
      </c>
      <c r="C286" s="4" t="s">
        <v>2270</v>
      </c>
      <c r="D286" s="4" t="s">
        <v>44</v>
      </c>
      <c r="E286" s="9" t="n">
        <v>38652</v>
      </c>
      <c r="F286" s="4" t="s">
        <v>77</v>
      </c>
      <c r="G286" s="4" t="s">
        <v>15</v>
      </c>
      <c r="H286" s="4" t="s">
        <v>78</v>
      </c>
      <c r="I286" s="7" t="n">
        <v>2017</v>
      </c>
      <c r="J286" s="7" t="n">
        <v>2023</v>
      </c>
      <c r="K286" s="4" t="s">
        <v>2271</v>
      </c>
      <c r="L286" s="4" t="s">
        <v>2272</v>
      </c>
      <c r="M286" s="4" t="s">
        <v>2273</v>
      </c>
      <c r="N286" s="4" t="s">
        <v>2274</v>
      </c>
      <c r="O286" s="4" t="s">
        <v>2275</v>
      </c>
      <c r="P286" s="4" t="s">
        <v>52</v>
      </c>
    </row>
    <row r="287" customFormat="false" ht="15" hidden="false" customHeight="false" outlineLevel="0" collapsed="false">
      <c r="A287" s="4" t="s">
        <v>2276</v>
      </c>
      <c r="B287" s="4" t="s">
        <v>2277</v>
      </c>
      <c r="C287" s="4" t="s">
        <v>2278</v>
      </c>
      <c r="D287" s="4" t="s">
        <v>66</v>
      </c>
      <c r="E287" s="9" t="n">
        <v>37571</v>
      </c>
      <c r="F287" s="4" t="s">
        <v>45</v>
      </c>
      <c r="G287" s="4" t="s">
        <v>17</v>
      </c>
      <c r="H287" s="4" t="s">
        <v>78</v>
      </c>
      <c r="I287" s="7" t="n">
        <v>2015</v>
      </c>
      <c r="J287" s="7" t="n">
        <v>2021</v>
      </c>
      <c r="K287" s="4" t="s">
        <v>2279</v>
      </c>
      <c r="L287" s="4" t="s">
        <v>2280</v>
      </c>
      <c r="M287" s="4" t="s">
        <v>2281</v>
      </c>
      <c r="N287" s="4" t="s">
        <v>2282</v>
      </c>
      <c r="O287" s="4" t="s">
        <v>2283</v>
      </c>
      <c r="P287" s="4" t="s">
        <v>52</v>
      </c>
    </row>
    <row r="288" customFormat="false" ht="15" hidden="false" customHeight="false" outlineLevel="0" collapsed="false">
      <c r="A288" s="4" t="s">
        <v>2284</v>
      </c>
      <c r="B288" s="4" t="s">
        <v>2285</v>
      </c>
      <c r="C288" s="4" t="s">
        <v>2286</v>
      </c>
      <c r="D288" s="4" t="s">
        <v>66</v>
      </c>
      <c r="E288" s="9" t="n">
        <v>37968</v>
      </c>
      <c r="F288" s="4" t="s">
        <v>142</v>
      </c>
      <c r="G288" s="4" t="s">
        <v>17</v>
      </c>
      <c r="H288" s="4" t="s">
        <v>46</v>
      </c>
      <c r="I288" s="7" t="n">
        <v>2015</v>
      </c>
      <c r="J288" s="7" t="n">
        <v>2021</v>
      </c>
      <c r="K288" s="4" t="s">
        <v>2287</v>
      </c>
      <c r="L288" s="4" t="s">
        <v>2288</v>
      </c>
      <c r="M288" s="4" t="s">
        <v>2289</v>
      </c>
      <c r="N288" s="4" t="s">
        <v>2290</v>
      </c>
      <c r="O288" s="4" t="s">
        <v>2291</v>
      </c>
      <c r="P288" s="4" t="s">
        <v>52</v>
      </c>
    </row>
    <row r="289" customFormat="false" ht="15" hidden="false" customHeight="false" outlineLevel="0" collapsed="false">
      <c r="A289" s="4" t="s">
        <v>2292</v>
      </c>
      <c r="B289" s="4" t="s">
        <v>2293</v>
      </c>
      <c r="C289" s="4" t="s">
        <v>2294</v>
      </c>
      <c r="D289" s="4" t="s">
        <v>44</v>
      </c>
      <c r="E289" s="9" t="n">
        <v>37463</v>
      </c>
      <c r="F289" s="4" t="s">
        <v>45</v>
      </c>
      <c r="G289" s="4" t="s">
        <v>14</v>
      </c>
      <c r="H289" s="4" t="s">
        <v>46</v>
      </c>
      <c r="I289" s="7" t="n">
        <v>2016</v>
      </c>
      <c r="J289" s="7" t="n">
        <v>2021</v>
      </c>
      <c r="K289" s="4" t="s">
        <v>2295</v>
      </c>
      <c r="L289" s="4" t="s">
        <v>2296</v>
      </c>
      <c r="M289" s="4" t="s">
        <v>2297</v>
      </c>
      <c r="N289" s="4" t="s">
        <v>2298</v>
      </c>
      <c r="O289" s="4" t="s">
        <v>2299</v>
      </c>
      <c r="P289" s="4" t="s">
        <v>52</v>
      </c>
    </row>
    <row r="290" customFormat="false" ht="15" hidden="false" customHeight="false" outlineLevel="0" collapsed="false">
      <c r="A290" s="4" t="s">
        <v>2300</v>
      </c>
      <c r="B290" s="4" t="s">
        <v>2301</v>
      </c>
      <c r="C290" s="4" t="s">
        <v>2302</v>
      </c>
      <c r="D290" s="4" t="s">
        <v>44</v>
      </c>
      <c r="E290" s="9" t="n">
        <v>39369</v>
      </c>
      <c r="F290" s="4" t="s">
        <v>56</v>
      </c>
      <c r="G290" s="4" t="s">
        <v>15</v>
      </c>
      <c r="H290" s="4" t="s">
        <v>57</v>
      </c>
      <c r="I290" s="7" t="n">
        <v>2019</v>
      </c>
      <c r="J290" s="7" t="n">
        <v>2025</v>
      </c>
      <c r="K290" s="4" t="s">
        <v>2303</v>
      </c>
      <c r="L290" s="4" t="s">
        <v>2304</v>
      </c>
      <c r="M290" s="4" t="s">
        <v>2305</v>
      </c>
      <c r="N290" s="4" t="s">
        <v>2306</v>
      </c>
      <c r="O290" s="4" t="s">
        <v>2307</v>
      </c>
      <c r="P290" s="4" t="s">
        <v>73</v>
      </c>
    </row>
    <row r="291" customFormat="false" ht="15" hidden="false" customHeight="false" outlineLevel="0" collapsed="false">
      <c r="A291" s="4" t="s">
        <v>2308</v>
      </c>
      <c r="B291" s="4" t="s">
        <v>2309</v>
      </c>
      <c r="C291" s="4" t="s">
        <v>2310</v>
      </c>
      <c r="D291" s="4" t="s">
        <v>66</v>
      </c>
      <c r="E291" s="9" t="n">
        <v>38934</v>
      </c>
      <c r="F291" s="4" t="s">
        <v>142</v>
      </c>
      <c r="G291" s="4" t="s">
        <v>17</v>
      </c>
      <c r="H291" s="4" t="s">
        <v>67</v>
      </c>
      <c r="I291" s="7" t="n">
        <v>2019</v>
      </c>
      <c r="J291" s="7" t="n">
        <v>2024</v>
      </c>
      <c r="K291" s="4" t="s">
        <v>2311</v>
      </c>
      <c r="L291" s="4" t="s">
        <v>2312</v>
      </c>
      <c r="M291" s="4" t="s">
        <v>2313</v>
      </c>
      <c r="N291" s="4" t="s">
        <v>2314</v>
      </c>
      <c r="O291" s="4" t="s">
        <v>2315</v>
      </c>
      <c r="P291" s="4" t="s">
        <v>52</v>
      </c>
    </row>
    <row r="292" customFormat="false" ht="15" hidden="false" customHeight="false" outlineLevel="0" collapsed="false">
      <c r="A292" s="4" t="s">
        <v>2316</v>
      </c>
      <c r="B292" s="4" t="s">
        <v>2317</v>
      </c>
      <c r="C292" s="4" t="s">
        <v>2318</v>
      </c>
      <c r="D292" s="4" t="s">
        <v>66</v>
      </c>
      <c r="E292" s="9" t="n">
        <v>38159</v>
      </c>
      <c r="F292" s="4" t="s">
        <v>45</v>
      </c>
      <c r="G292" s="4" t="s">
        <v>16</v>
      </c>
      <c r="H292" s="4" t="s">
        <v>57</v>
      </c>
      <c r="I292" s="7" t="n">
        <v>2017</v>
      </c>
      <c r="J292" s="7" t="n">
        <v>2023</v>
      </c>
      <c r="K292" s="4" t="s">
        <v>2319</v>
      </c>
      <c r="L292" s="4" t="s">
        <v>2320</v>
      </c>
      <c r="M292" s="4" t="s">
        <v>2321</v>
      </c>
      <c r="N292" s="4" t="s">
        <v>2322</v>
      </c>
      <c r="O292" s="4" t="s">
        <v>2323</v>
      </c>
      <c r="P292" s="4" t="s">
        <v>52</v>
      </c>
    </row>
    <row r="293" customFormat="false" ht="15" hidden="false" customHeight="false" outlineLevel="0" collapsed="false">
      <c r="A293" s="4" t="s">
        <v>2324</v>
      </c>
      <c r="B293" s="4" t="s">
        <v>2325</v>
      </c>
      <c r="C293" s="4" t="s">
        <v>2326</v>
      </c>
      <c r="D293" s="4" t="s">
        <v>66</v>
      </c>
      <c r="E293" s="9" t="n">
        <v>38495</v>
      </c>
      <c r="F293" s="4" t="s">
        <v>45</v>
      </c>
      <c r="G293" s="4" t="s">
        <v>17</v>
      </c>
      <c r="H293" s="4" t="s">
        <v>46</v>
      </c>
      <c r="I293" s="7" t="n">
        <v>2019</v>
      </c>
      <c r="J293" s="7" t="n">
        <v>2024</v>
      </c>
      <c r="K293" s="4" t="s">
        <v>2327</v>
      </c>
      <c r="L293" s="4" t="s">
        <v>2328</v>
      </c>
      <c r="M293" s="4" t="s">
        <v>2329</v>
      </c>
      <c r="N293" s="4" t="s">
        <v>2330</v>
      </c>
      <c r="O293" s="4" t="s">
        <v>2331</v>
      </c>
      <c r="P293" s="4" t="s">
        <v>52</v>
      </c>
    </row>
    <row r="294" customFormat="false" ht="15" hidden="false" customHeight="false" outlineLevel="0" collapsed="false">
      <c r="A294" s="4" t="s">
        <v>2332</v>
      </c>
      <c r="B294" s="4" t="s">
        <v>2333</v>
      </c>
      <c r="C294" s="4" t="s">
        <v>306</v>
      </c>
      <c r="D294" s="4" t="s">
        <v>66</v>
      </c>
      <c r="E294" s="9" t="n">
        <v>38585</v>
      </c>
      <c r="F294" s="4" t="s">
        <v>142</v>
      </c>
      <c r="G294" s="4" t="s">
        <v>14</v>
      </c>
      <c r="H294" s="4" t="s">
        <v>78</v>
      </c>
      <c r="I294" s="7" t="n">
        <v>2018</v>
      </c>
      <c r="J294" s="7" t="n">
        <v>2024</v>
      </c>
      <c r="K294" s="4" t="s">
        <v>2334</v>
      </c>
      <c r="L294" s="4" t="s">
        <v>2335</v>
      </c>
      <c r="M294" s="4" t="s">
        <v>2336</v>
      </c>
      <c r="N294" s="4" t="s">
        <v>2337</v>
      </c>
      <c r="O294" s="4" t="s">
        <v>2338</v>
      </c>
      <c r="P294" s="4" t="s">
        <v>52</v>
      </c>
    </row>
    <row r="295" customFormat="false" ht="15" hidden="false" customHeight="false" outlineLevel="0" collapsed="false">
      <c r="A295" s="4" t="s">
        <v>2339</v>
      </c>
      <c r="B295" s="4" t="s">
        <v>2340</v>
      </c>
      <c r="C295" s="4" t="s">
        <v>1372</v>
      </c>
      <c r="D295" s="4" t="s">
        <v>44</v>
      </c>
      <c r="E295" s="9" t="n">
        <v>37319</v>
      </c>
      <c r="F295" s="4" t="s">
        <v>45</v>
      </c>
      <c r="G295" s="4" t="s">
        <v>16</v>
      </c>
      <c r="H295" s="4" t="s">
        <v>78</v>
      </c>
      <c r="I295" s="7" t="n">
        <v>2016</v>
      </c>
      <c r="J295" s="7" t="n">
        <v>2021</v>
      </c>
      <c r="K295" s="4" t="s">
        <v>2341</v>
      </c>
      <c r="L295" s="4" t="s">
        <v>2342</v>
      </c>
      <c r="M295" s="4" t="s">
        <v>2343</v>
      </c>
      <c r="N295" s="4" t="s">
        <v>2344</v>
      </c>
      <c r="O295" s="4" t="s">
        <v>2345</v>
      </c>
      <c r="P295" s="4" t="s">
        <v>52</v>
      </c>
    </row>
    <row r="296" customFormat="false" ht="15" hidden="false" customHeight="false" outlineLevel="0" collapsed="false">
      <c r="A296" s="4" t="s">
        <v>2346</v>
      </c>
      <c r="B296" s="4" t="s">
        <v>2347</v>
      </c>
      <c r="C296" s="4" t="s">
        <v>2348</v>
      </c>
      <c r="D296" s="4" t="s">
        <v>44</v>
      </c>
      <c r="E296" s="9" t="n">
        <v>38558</v>
      </c>
      <c r="F296" s="4" t="s">
        <v>56</v>
      </c>
      <c r="G296" s="4" t="s">
        <v>16</v>
      </c>
      <c r="H296" s="4" t="s">
        <v>46</v>
      </c>
      <c r="I296" s="7" t="n">
        <v>2017</v>
      </c>
      <c r="J296" s="7" t="n">
        <v>2023</v>
      </c>
      <c r="K296" s="4" t="s">
        <v>2349</v>
      </c>
      <c r="L296" s="4" t="s">
        <v>2350</v>
      </c>
      <c r="M296" s="4" t="s">
        <v>2351</v>
      </c>
      <c r="N296" s="4" t="s">
        <v>2352</v>
      </c>
      <c r="O296" s="4" t="s">
        <v>2353</v>
      </c>
      <c r="P296" s="4" t="s">
        <v>52</v>
      </c>
    </row>
    <row r="297" customFormat="false" ht="15" hidden="false" customHeight="false" outlineLevel="0" collapsed="false">
      <c r="A297" s="4" t="s">
        <v>2354</v>
      </c>
      <c r="B297" s="4" t="s">
        <v>2355</v>
      </c>
      <c r="C297" s="4" t="s">
        <v>2356</v>
      </c>
      <c r="D297" s="4" t="s">
        <v>66</v>
      </c>
      <c r="E297" s="9" t="n">
        <v>38813</v>
      </c>
      <c r="F297" s="4" t="s">
        <v>45</v>
      </c>
      <c r="G297" s="4" t="s">
        <v>15</v>
      </c>
      <c r="H297" s="4" t="s">
        <v>57</v>
      </c>
      <c r="I297" s="7" t="n">
        <v>2019</v>
      </c>
      <c r="J297" s="7" t="n">
        <v>2024</v>
      </c>
      <c r="K297" s="4" t="s">
        <v>2357</v>
      </c>
      <c r="L297" s="4" t="s">
        <v>2358</v>
      </c>
      <c r="M297" s="4" t="s">
        <v>2359</v>
      </c>
      <c r="N297" s="4" t="s">
        <v>2360</v>
      </c>
      <c r="O297" s="4" t="s">
        <v>2361</v>
      </c>
      <c r="P297" s="4" t="s">
        <v>52</v>
      </c>
    </row>
    <row r="298" customFormat="false" ht="15" hidden="false" customHeight="false" outlineLevel="0" collapsed="false">
      <c r="A298" s="4" t="s">
        <v>2362</v>
      </c>
      <c r="B298" s="4" t="s">
        <v>2363</v>
      </c>
      <c r="C298" s="4" t="s">
        <v>2364</v>
      </c>
      <c r="D298" s="4" t="s">
        <v>44</v>
      </c>
      <c r="E298" s="9" t="n">
        <v>37631</v>
      </c>
      <c r="F298" s="4" t="s">
        <v>77</v>
      </c>
      <c r="G298" s="4" t="s">
        <v>17</v>
      </c>
      <c r="H298" s="4" t="s">
        <v>67</v>
      </c>
      <c r="I298" s="7" t="n">
        <v>2015</v>
      </c>
      <c r="J298" s="7" t="n">
        <v>2021</v>
      </c>
      <c r="K298" s="4" t="s">
        <v>2365</v>
      </c>
      <c r="L298" s="4" t="s">
        <v>2366</v>
      </c>
      <c r="M298" s="4" t="s">
        <v>2367</v>
      </c>
      <c r="N298" s="4" t="s">
        <v>2368</v>
      </c>
      <c r="O298" s="4" t="s">
        <v>2369</v>
      </c>
      <c r="P298" s="4" t="s">
        <v>52</v>
      </c>
    </row>
    <row r="299" customFormat="false" ht="15" hidden="false" customHeight="false" outlineLevel="0" collapsed="false">
      <c r="A299" s="4" t="s">
        <v>2370</v>
      </c>
      <c r="B299" s="4" t="s">
        <v>2371</v>
      </c>
      <c r="C299" s="4" t="s">
        <v>2372</v>
      </c>
      <c r="D299" s="4" t="s">
        <v>66</v>
      </c>
      <c r="E299" s="9" t="n">
        <v>37829</v>
      </c>
      <c r="F299" s="4" t="s">
        <v>45</v>
      </c>
      <c r="G299" s="4" t="s">
        <v>14</v>
      </c>
      <c r="H299" s="4" t="s">
        <v>67</v>
      </c>
      <c r="I299" s="7" t="n">
        <v>2015</v>
      </c>
      <c r="J299" s="7" t="n">
        <v>2021</v>
      </c>
      <c r="K299" s="4" t="s">
        <v>2373</v>
      </c>
      <c r="L299" s="4" t="s">
        <v>2374</v>
      </c>
      <c r="M299" s="4" t="s">
        <v>2375</v>
      </c>
      <c r="N299" s="4" t="s">
        <v>2376</v>
      </c>
      <c r="O299" s="4" t="s">
        <v>2377</v>
      </c>
      <c r="P299" s="4" t="s">
        <v>52</v>
      </c>
    </row>
    <row r="300" customFormat="false" ht="15" hidden="false" customHeight="false" outlineLevel="0" collapsed="false">
      <c r="A300" s="4" t="s">
        <v>2378</v>
      </c>
      <c r="B300" s="4" t="s">
        <v>2379</v>
      </c>
      <c r="C300" s="4" t="s">
        <v>2380</v>
      </c>
      <c r="D300" s="4" t="s">
        <v>66</v>
      </c>
      <c r="E300" s="9" t="n">
        <v>38316</v>
      </c>
      <c r="F300" s="4" t="s">
        <v>56</v>
      </c>
      <c r="G300" s="4" t="s">
        <v>16</v>
      </c>
      <c r="H300" s="4" t="s">
        <v>46</v>
      </c>
      <c r="I300" s="7" t="n">
        <v>2017</v>
      </c>
      <c r="J300" s="7" t="n">
        <v>2023</v>
      </c>
      <c r="K300" s="4" t="s">
        <v>2381</v>
      </c>
      <c r="L300" s="4" t="s">
        <v>2382</v>
      </c>
      <c r="M300" s="4" t="s">
        <v>1974</v>
      </c>
      <c r="N300" s="4" t="s">
        <v>2383</v>
      </c>
      <c r="O300" s="4" t="s">
        <v>2384</v>
      </c>
      <c r="P300" s="4" t="s">
        <v>52</v>
      </c>
    </row>
    <row r="301" customFormat="false" ht="15" hidden="false" customHeight="false" outlineLevel="0" collapsed="false">
      <c r="A301" s="4" t="s">
        <v>2385</v>
      </c>
      <c r="B301" s="4" t="s">
        <v>2386</v>
      </c>
      <c r="C301" s="4" t="s">
        <v>2387</v>
      </c>
      <c r="D301" s="4" t="s">
        <v>66</v>
      </c>
      <c r="E301" s="9" t="n">
        <v>38335</v>
      </c>
      <c r="F301" s="4" t="s">
        <v>142</v>
      </c>
      <c r="G301" s="4" t="s">
        <v>16</v>
      </c>
      <c r="H301" s="4" t="s">
        <v>57</v>
      </c>
      <c r="I301" s="7" t="n">
        <v>2017</v>
      </c>
      <c r="J301" s="7" t="n">
        <v>2022</v>
      </c>
      <c r="K301" s="4" t="s">
        <v>2388</v>
      </c>
      <c r="L301" s="4" t="s">
        <v>2389</v>
      </c>
      <c r="M301" s="4" t="s">
        <v>2390</v>
      </c>
      <c r="N301" s="4" t="s">
        <v>2391</v>
      </c>
      <c r="O301" s="4" t="s">
        <v>2392</v>
      </c>
      <c r="P301" s="4" t="s">
        <v>52</v>
      </c>
    </row>
    <row r="302" customFormat="false" ht="15" hidden="false" customHeight="false" outlineLevel="0" collapsed="false">
      <c r="A302" s="4" t="s">
        <v>2393</v>
      </c>
      <c r="B302" s="4" t="s">
        <v>2394</v>
      </c>
      <c r="C302" s="4" t="s">
        <v>2395</v>
      </c>
      <c r="D302" s="4" t="s">
        <v>66</v>
      </c>
      <c r="E302" s="9" t="n">
        <v>38985</v>
      </c>
      <c r="F302" s="4" t="s">
        <v>56</v>
      </c>
      <c r="G302" s="4" t="s">
        <v>16</v>
      </c>
      <c r="H302" s="4" t="s">
        <v>46</v>
      </c>
      <c r="I302" s="7" t="n">
        <v>2019</v>
      </c>
      <c r="J302" s="7" t="n">
        <v>2024</v>
      </c>
      <c r="K302" s="4" t="s">
        <v>2396</v>
      </c>
      <c r="L302" s="4" t="s">
        <v>2397</v>
      </c>
      <c r="M302" s="4" t="s">
        <v>2398</v>
      </c>
      <c r="N302" s="4" t="s">
        <v>2399</v>
      </c>
      <c r="O302" s="4" t="s">
        <v>2400</v>
      </c>
      <c r="P302" s="4" t="s">
        <v>52</v>
      </c>
    </row>
    <row r="303" customFormat="false" ht="15" hidden="false" customHeight="false" outlineLevel="0" collapsed="false">
      <c r="A303" s="4" t="s">
        <v>2401</v>
      </c>
      <c r="B303" s="4" t="s">
        <v>2402</v>
      </c>
      <c r="C303" s="4" t="s">
        <v>2403</v>
      </c>
      <c r="D303" s="4" t="s">
        <v>66</v>
      </c>
      <c r="E303" s="9" t="n">
        <v>37905</v>
      </c>
      <c r="F303" s="4" t="s">
        <v>45</v>
      </c>
      <c r="G303" s="4" t="s">
        <v>16</v>
      </c>
      <c r="H303" s="4" t="s">
        <v>57</v>
      </c>
      <c r="I303" s="7" t="n">
        <v>2015</v>
      </c>
      <c r="J303" s="7" t="n">
        <v>2021</v>
      </c>
      <c r="K303" s="4" t="s">
        <v>2404</v>
      </c>
      <c r="L303" s="4" t="s">
        <v>2405</v>
      </c>
      <c r="M303" s="4" t="s">
        <v>2406</v>
      </c>
      <c r="N303" s="4" t="s">
        <v>2407</v>
      </c>
      <c r="O303" s="4" t="s">
        <v>2408</v>
      </c>
      <c r="P303" s="4" t="s">
        <v>52</v>
      </c>
    </row>
    <row r="304" customFormat="false" ht="15" hidden="false" customHeight="false" outlineLevel="0" collapsed="false">
      <c r="A304" s="4" t="s">
        <v>2409</v>
      </c>
      <c r="B304" s="4" t="s">
        <v>2410</v>
      </c>
      <c r="C304" s="4" t="s">
        <v>2411</v>
      </c>
      <c r="D304" s="4" t="s">
        <v>44</v>
      </c>
      <c r="E304" s="9" t="n">
        <v>38550</v>
      </c>
      <c r="F304" s="4" t="s">
        <v>77</v>
      </c>
      <c r="G304" s="4" t="s">
        <v>18</v>
      </c>
      <c r="H304" s="4" t="s">
        <v>67</v>
      </c>
      <c r="I304" s="7" t="n">
        <v>2018</v>
      </c>
      <c r="J304" s="7" t="n">
        <v>2023</v>
      </c>
      <c r="K304" s="4" t="s">
        <v>2412</v>
      </c>
      <c r="L304" s="4" t="s">
        <v>2413</v>
      </c>
      <c r="M304" s="4" t="s">
        <v>2398</v>
      </c>
      <c r="N304" s="4" t="s">
        <v>2414</v>
      </c>
      <c r="O304" s="4" t="s">
        <v>2415</v>
      </c>
      <c r="P304" s="4" t="s">
        <v>52</v>
      </c>
    </row>
    <row r="305" customFormat="false" ht="15" hidden="false" customHeight="false" outlineLevel="0" collapsed="false">
      <c r="A305" s="4" t="s">
        <v>2416</v>
      </c>
      <c r="B305" s="4" t="s">
        <v>2417</v>
      </c>
      <c r="C305" s="4" t="s">
        <v>2418</v>
      </c>
      <c r="D305" s="4" t="s">
        <v>44</v>
      </c>
      <c r="E305" s="9" t="n">
        <v>38764</v>
      </c>
      <c r="F305" s="4" t="s">
        <v>142</v>
      </c>
      <c r="G305" s="4" t="s">
        <v>14</v>
      </c>
      <c r="H305" s="4" t="s">
        <v>78</v>
      </c>
      <c r="I305" s="7" t="n">
        <v>2020</v>
      </c>
      <c r="J305" s="7" t="n">
        <v>2025</v>
      </c>
      <c r="K305" s="4" t="s">
        <v>2419</v>
      </c>
      <c r="L305" s="4" t="s">
        <v>2420</v>
      </c>
      <c r="M305" s="4" t="s">
        <v>2421</v>
      </c>
      <c r="N305" s="4" t="s">
        <v>2422</v>
      </c>
      <c r="O305" s="4" t="s">
        <v>2423</v>
      </c>
      <c r="P305" s="4" t="s">
        <v>73</v>
      </c>
    </row>
    <row r="306" customFormat="false" ht="15" hidden="false" customHeight="false" outlineLevel="0" collapsed="false">
      <c r="A306" s="4" t="s">
        <v>2424</v>
      </c>
      <c r="B306" s="4" t="s">
        <v>2425</v>
      </c>
      <c r="C306" s="4" t="s">
        <v>1083</v>
      </c>
      <c r="D306" s="4" t="s">
        <v>66</v>
      </c>
      <c r="E306" s="9" t="n">
        <v>39288</v>
      </c>
      <c r="F306" s="4" t="s">
        <v>142</v>
      </c>
      <c r="G306" s="4" t="s">
        <v>15</v>
      </c>
      <c r="H306" s="4" t="s">
        <v>78</v>
      </c>
      <c r="I306" s="7" t="n">
        <v>2020</v>
      </c>
      <c r="J306" s="7" t="n">
        <v>2025</v>
      </c>
      <c r="K306" s="4" t="s">
        <v>2426</v>
      </c>
      <c r="L306" s="4" t="s">
        <v>2427</v>
      </c>
      <c r="M306" s="4" t="s">
        <v>2428</v>
      </c>
      <c r="N306" s="4" t="s">
        <v>2429</v>
      </c>
      <c r="O306" s="4" t="s">
        <v>2430</v>
      </c>
      <c r="P306" s="4" t="s">
        <v>52</v>
      </c>
    </row>
    <row r="307" customFormat="false" ht="15" hidden="false" customHeight="false" outlineLevel="0" collapsed="false">
      <c r="A307" s="4" t="s">
        <v>2431</v>
      </c>
      <c r="B307" s="4" t="s">
        <v>2432</v>
      </c>
      <c r="C307" s="4" t="s">
        <v>2433</v>
      </c>
      <c r="D307" s="4" t="s">
        <v>44</v>
      </c>
      <c r="E307" s="9" t="n">
        <v>37920</v>
      </c>
      <c r="F307" s="4" t="s">
        <v>142</v>
      </c>
      <c r="G307" s="4" t="s">
        <v>17</v>
      </c>
      <c r="H307" s="4" t="s">
        <v>78</v>
      </c>
      <c r="I307" s="7" t="n">
        <v>2016</v>
      </c>
      <c r="J307" s="7" t="n">
        <v>2022</v>
      </c>
      <c r="K307" s="4" t="s">
        <v>2434</v>
      </c>
      <c r="L307" s="4" t="s">
        <v>2435</v>
      </c>
      <c r="M307" s="4" t="s">
        <v>1426</v>
      </c>
      <c r="N307" s="4" t="s">
        <v>2436</v>
      </c>
      <c r="O307" s="4" t="s">
        <v>2437</v>
      </c>
      <c r="P307" s="4" t="s">
        <v>52</v>
      </c>
    </row>
    <row r="308" customFormat="false" ht="15" hidden="false" customHeight="false" outlineLevel="0" collapsed="false">
      <c r="A308" s="4" t="s">
        <v>2438</v>
      </c>
      <c r="B308" s="4" t="s">
        <v>2439</v>
      </c>
      <c r="C308" s="4" t="s">
        <v>2440</v>
      </c>
      <c r="D308" s="4" t="s">
        <v>44</v>
      </c>
      <c r="E308" s="9" t="n">
        <v>37380</v>
      </c>
      <c r="F308" s="4" t="s">
        <v>142</v>
      </c>
      <c r="G308" s="4" t="s">
        <v>17</v>
      </c>
      <c r="H308" s="4" t="s">
        <v>57</v>
      </c>
      <c r="I308" s="7" t="n">
        <v>2015</v>
      </c>
      <c r="J308" s="7" t="n">
        <v>2021</v>
      </c>
      <c r="K308" s="4" t="s">
        <v>2441</v>
      </c>
      <c r="L308" s="4" t="s">
        <v>2442</v>
      </c>
      <c r="M308" s="4" t="s">
        <v>570</v>
      </c>
      <c r="N308" s="4" t="s">
        <v>2443</v>
      </c>
      <c r="O308" s="4" t="s">
        <v>2444</v>
      </c>
      <c r="P308" s="4" t="s">
        <v>52</v>
      </c>
    </row>
    <row r="309" customFormat="false" ht="15" hidden="false" customHeight="false" outlineLevel="0" collapsed="false">
      <c r="A309" s="4" t="s">
        <v>2445</v>
      </c>
      <c r="B309" s="4" t="s">
        <v>2446</v>
      </c>
      <c r="C309" s="4" t="s">
        <v>2447</v>
      </c>
      <c r="D309" s="4" t="s">
        <v>44</v>
      </c>
      <c r="E309" s="9" t="n">
        <v>37368</v>
      </c>
      <c r="F309" s="4" t="s">
        <v>142</v>
      </c>
      <c r="G309" s="4" t="s">
        <v>16</v>
      </c>
      <c r="H309" s="4" t="s">
        <v>46</v>
      </c>
      <c r="I309" s="7" t="n">
        <v>2015</v>
      </c>
      <c r="J309" s="7" t="n">
        <v>2021</v>
      </c>
      <c r="K309" s="4" t="s">
        <v>2448</v>
      </c>
      <c r="L309" s="4" t="s">
        <v>2449</v>
      </c>
      <c r="M309" s="4" t="s">
        <v>2450</v>
      </c>
      <c r="N309" s="4" t="s">
        <v>2451</v>
      </c>
      <c r="O309" s="4" t="s">
        <v>2452</v>
      </c>
      <c r="P309" s="4" t="s">
        <v>52</v>
      </c>
    </row>
    <row r="310" customFormat="false" ht="15" hidden="false" customHeight="false" outlineLevel="0" collapsed="false">
      <c r="A310" s="4" t="s">
        <v>2453</v>
      </c>
      <c r="B310" s="4" t="s">
        <v>2454</v>
      </c>
      <c r="C310" s="4" t="s">
        <v>2455</v>
      </c>
      <c r="D310" s="4" t="s">
        <v>66</v>
      </c>
      <c r="E310" s="9" t="n">
        <v>39104</v>
      </c>
      <c r="F310" s="4" t="s">
        <v>142</v>
      </c>
      <c r="G310" s="4" t="s">
        <v>16</v>
      </c>
      <c r="H310" s="4" t="s">
        <v>67</v>
      </c>
      <c r="I310" s="7" t="n">
        <v>2020</v>
      </c>
      <c r="J310" s="7" t="n">
        <v>2025</v>
      </c>
      <c r="K310" s="4" t="s">
        <v>2456</v>
      </c>
      <c r="L310" s="4" t="s">
        <v>2457</v>
      </c>
      <c r="M310" s="4" t="s">
        <v>2458</v>
      </c>
      <c r="N310" s="4" t="s">
        <v>2459</v>
      </c>
      <c r="O310" s="4" t="s">
        <v>2460</v>
      </c>
      <c r="P310" s="4" t="s">
        <v>73</v>
      </c>
    </row>
    <row r="311" customFormat="false" ht="15" hidden="false" customHeight="false" outlineLevel="0" collapsed="false">
      <c r="A311" s="4" t="s">
        <v>2461</v>
      </c>
      <c r="B311" s="4" t="s">
        <v>2462</v>
      </c>
      <c r="C311" s="4" t="s">
        <v>2463</v>
      </c>
      <c r="D311" s="4" t="s">
        <v>44</v>
      </c>
      <c r="E311" s="9" t="n">
        <v>38539</v>
      </c>
      <c r="F311" s="4" t="s">
        <v>77</v>
      </c>
      <c r="G311" s="4" t="s">
        <v>17</v>
      </c>
      <c r="H311" s="4" t="s">
        <v>67</v>
      </c>
      <c r="I311" s="7" t="n">
        <v>2018</v>
      </c>
      <c r="J311" s="7" t="n">
        <v>2023</v>
      </c>
      <c r="K311" s="4" t="s">
        <v>2464</v>
      </c>
      <c r="L311" s="4" t="s">
        <v>2465</v>
      </c>
      <c r="M311" s="4" t="s">
        <v>1527</v>
      </c>
      <c r="N311" s="4" t="s">
        <v>2466</v>
      </c>
      <c r="O311" s="4" t="s">
        <v>2467</v>
      </c>
      <c r="P311" s="4" t="s">
        <v>52</v>
      </c>
    </row>
    <row r="312" customFormat="false" ht="15" hidden="false" customHeight="false" outlineLevel="0" collapsed="false">
      <c r="A312" s="4" t="s">
        <v>2468</v>
      </c>
      <c r="B312" s="4" t="s">
        <v>2469</v>
      </c>
      <c r="C312" s="4" t="s">
        <v>2470</v>
      </c>
      <c r="D312" s="4" t="s">
        <v>44</v>
      </c>
      <c r="E312" s="9" t="n">
        <v>39411</v>
      </c>
      <c r="F312" s="4" t="s">
        <v>142</v>
      </c>
      <c r="G312" s="4" t="s">
        <v>16</v>
      </c>
      <c r="H312" s="4" t="s">
        <v>46</v>
      </c>
      <c r="I312" s="7" t="n">
        <v>2019</v>
      </c>
      <c r="J312" s="7" t="n">
        <v>2025</v>
      </c>
      <c r="K312" s="4" t="s">
        <v>2471</v>
      </c>
      <c r="L312" s="4" t="s">
        <v>2472</v>
      </c>
      <c r="M312" s="4" t="s">
        <v>2473</v>
      </c>
      <c r="N312" s="4" t="s">
        <v>2474</v>
      </c>
      <c r="O312" s="4" t="s">
        <v>2475</v>
      </c>
      <c r="P312" s="4" t="s">
        <v>73</v>
      </c>
    </row>
    <row r="313" customFormat="false" ht="15" hidden="false" customHeight="false" outlineLevel="0" collapsed="false">
      <c r="A313" s="4" t="s">
        <v>2476</v>
      </c>
      <c r="B313" s="4" t="s">
        <v>2477</v>
      </c>
      <c r="C313" s="4" t="s">
        <v>2210</v>
      </c>
      <c r="D313" s="4" t="s">
        <v>66</v>
      </c>
      <c r="E313" s="9" t="n">
        <v>39066</v>
      </c>
      <c r="F313" s="4" t="s">
        <v>77</v>
      </c>
      <c r="G313" s="4" t="s">
        <v>14</v>
      </c>
      <c r="H313" s="4" t="s">
        <v>46</v>
      </c>
      <c r="I313" s="7" t="n">
        <v>2018</v>
      </c>
      <c r="J313" s="7" t="n">
        <v>2024</v>
      </c>
      <c r="K313" s="4" t="s">
        <v>2478</v>
      </c>
      <c r="L313" s="4" t="s">
        <v>2479</v>
      </c>
      <c r="M313" s="4" t="s">
        <v>2480</v>
      </c>
      <c r="N313" s="4" t="s">
        <v>2481</v>
      </c>
      <c r="O313" s="4" t="s">
        <v>2482</v>
      </c>
      <c r="P313" s="4" t="s">
        <v>52</v>
      </c>
    </row>
    <row r="314" customFormat="false" ht="15" hidden="false" customHeight="false" outlineLevel="0" collapsed="false">
      <c r="A314" s="4" t="s">
        <v>2483</v>
      </c>
      <c r="B314" s="4" t="s">
        <v>2484</v>
      </c>
      <c r="C314" s="4" t="s">
        <v>2485</v>
      </c>
      <c r="D314" s="4" t="s">
        <v>66</v>
      </c>
      <c r="E314" s="9" t="n">
        <v>38484</v>
      </c>
      <c r="F314" s="4" t="s">
        <v>45</v>
      </c>
      <c r="G314" s="4" t="s">
        <v>16</v>
      </c>
      <c r="H314" s="4" t="s">
        <v>46</v>
      </c>
      <c r="I314" s="7" t="n">
        <v>2018</v>
      </c>
      <c r="J314" s="7" t="n">
        <v>2023</v>
      </c>
      <c r="K314" s="4" t="s">
        <v>2486</v>
      </c>
      <c r="L314" s="4" t="s">
        <v>2487</v>
      </c>
      <c r="M314" s="4" t="s">
        <v>2488</v>
      </c>
      <c r="N314" s="4" t="s">
        <v>2489</v>
      </c>
      <c r="O314" s="4" t="s">
        <v>2490</v>
      </c>
      <c r="P314" s="4" t="s">
        <v>52</v>
      </c>
    </row>
    <row r="315" customFormat="false" ht="15" hidden="false" customHeight="false" outlineLevel="0" collapsed="false">
      <c r="A315" s="4" t="s">
        <v>2491</v>
      </c>
      <c r="B315" s="4" t="s">
        <v>2492</v>
      </c>
      <c r="C315" s="4" t="s">
        <v>2493</v>
      </c>
      <c r="D315" s="4" t="s">
        <v>44</v>
      </c>
      <c r="E315" s="9" t="n">
        <v>37575</v>
      </c>
      <c r="F315" s="4" t="s">
        <v>56</v>
      </c>
      <c r="G315" s="4" t="s">
        <v>17</v>
      </c>
      <c r="H315" s="4" t="s">
        <v>46</v>
      </c>
      <c r="I315" s="7" t="n">
        <v>2015</v>
      </c>
      <c r="J315" s="7" t="n">
        <v>2021</v>
      </c>
      <c r="K315" s="4" t="s">
        <v>2494</v>
      </c>
      <c r="L315" s="4" t="s">
        <v>2495</v>
      </c>
      <c r="M315" s="4" t="s">
        <v>2496</v>
      </c>
      <c r="N315" s="4" t="s">
        <v>2497</v>
      </c>
      <c r="O315" s="4" t="s">
        <v>2498</v>
      </c>
      <c r="P315" s="4" t="s">
        <v>52</v>
      </c>
    </row>
    <row r="316" customFormat="false" ht="15" hidden="false" customHeight="false" outlineLevel="0" collapsed="false">
      <c r="A316" s="4" t="s">
        <v>2499</v>
      </c>
      <c r="B316" s="4" t="s">
        <v>2500</v>
      </c>
      <c r="C316" s="4" t="s">
        <v>1310</v>
      </c>
      <c r="D316" s="4" t="s">
        <v>44</v>
      </c>
      <c r="E316" s="9" t="n">
        <v>37973</v>
      </c>
      <c r="F316" s="4" t="s">
        <v>142</v>
      </c>
      <c r="G316" s="4" t="s">
        <v>17</v>
      </c>
      <c r="H316" s="4" t="s">
        <v>78</v>
      </c>
      <c r="I316" s="7" t="n">
        <v>2016</v>
      </c>
      <c r="J316" s="7" t="n">
        <v>2022</v>
      </c>
      <c r="K316" s="4" t="s">
        <v>2501</v>
      </c>
      <c r="L316" s="4" t="s">
        <v>2502</v>
      </c>
      <c r="M316" s="4" t="s">
        <v>2503</v>
      </c>
      <c r="N316" s="4" t="s">
        <v>2504</v>
      </c>
      <c r="O316" s="4" t="s">
        <v>2505</v>
      </c>
      <c r="P316" s="4" t="s">
        <v>52</v>
      </c>
    </row>
    <row r="317" customFormat="false" ht="15" hidden="false" customHeight="false" outlineLevel="0" collapsed="false">
      <c r="A317" s="4" t="s">
        <v>2506</v>
      </c>
      <c r="B317" s="4" t="s">
        <v>2507</v>
      </c>
      <c r="C317" s="4" t="s">
        <v>458</v>
      </c>
      <c r="D317" s="4" t="s">
        <v>44</v>
      </c>
      <c r="E317" s="9" t="n">
        <v>38202</v>
      </c>
      <c r="F317" s="4" t="s">
        <v>77</v>
      </c>
      <c r="G317" s="4" t="s">
        <v>14</v>
      </c>
      <c r="H317" s="4" t="s">
        <v>67</v>
      </c>
      <c r="I317" s="7" t="n">
        <v>2017</v>
      </c>
      <c r="J317" s="7" t="n">
        <v>2022</v>
      </c>
      <c r="K317" s="4" t="s">
        <v>2508</v>
      </c>
      <c r="L317" s="4" t="s">
        <v>2509</v>
      </c>
      <c r="M317" s="4" t="s">
        <v>2510</v>
      </c>
      <c r="N317" s="4" t="s">
        <v>2511</v>
      </c>
      <c r="O317" s="4" t="s">
        <v>2512</v>
      </c>
      <c r="P317" s="4" t="s">
        <v>52</v>
      </c>
    </row>
    <row r="318" customFormat="false" ht="15" hidden="false" customHeight="false" outlineLevel="0" collapsed="false">
      <c r="A318" s="4" t="s">
        <v>2513</v>
      </c>
      <c r="B318" s="4" t="s">
        <v>2514</v>
      </c>
      <c r="C318" s="4" t="s">
        <v>2515</v>
      </c>
      <c r="D318" s="4" t="s">
        <v>44</v>
      </c>
      <c r="E318" s="9" t="n">
        <v>38196</v>
      </c>
      <c r="F318" s="4" t="s">
        <v>142</v>
      </c>
      <c r="G318" s="4" t="s">
        <v>14</v>
      </c>
      <c r="H318" s="4" t="s">
        <v>46</v>
      </c>
      <c r="I318" s="7" t="n">
        <v>2017</v>
      </c>
      <c r="J318" s="7" t="n">
        <v>2023</v>
      </c>
      <c r="K318" s="4" t="s">
        <v>2516</v>
      </c>
      <c r="L318" s="4" t="s">
        <v>2517</v>
      </c>
      <c r="M318" s="4" t="s">
        <v>2518</v>
      </c>
      <c r="N318" s="4" t="s">
        <v>2519</v>
      </c>
      <c r="O318" s="4" t="s">
        <v>2520</v>
      </c>
      <c r="P318" s="4" t="s">
        <v>52</v>
      </c>
    </row>
    <row r="319" customFormat="false" ht="15" hidden="false" customHeight="false" outlineLevel="0" collapsed="false">
      <c r="A319" s="4" t="s">
        <v>2521</v>
      </c>
      <c r="B319" s="4" t="s">
        <v>2522</v>
      </c>
      <c r="C319" s="4" t="s">
        <v>2523</v>
      </c>
      <c r="D319" s="4" t="s">
        <v>66</v>
      </c>
      <c r="E319" s="9" t="n">
        <v>38438</v>
      </c>
      <c r="F319" s="4" t="s">
        <v>142</v>
      </c>
      <c r="G319" s="4" t="s">
        <v>18</v>
      </c>
      <c r="H319" s="4" t="s">
        <v>78</v>
      </c>
      <c r="I319" s="7" t="n">
        <v>2017</v>
      </c>
      <c r="J319" s="7" t="n">
        <v>2023</v>
      </c>
      <c r="K319" s="4" t="s">
        <v>2524</v>
      </c>
      <c r="L319" s="4" t="s">
        <v>2525</v>
      </c>
      <c r="M319" s="4" t="s">
        <v>2526</v>
      </c>
      <c r="N319" s="4" t="s">
        <v>2527</v>
      </c>
      <c r="O319" s="4" t="s">
        <v>2528</v>
      </c>
      <c r="P319" s="4" t="s">
        <v>52</v>
      </c>
    </row>
    <row r="320" customFormat="false" ht="15" hidden="false" customHeight="false" outlineLevel="0" collapsed="false">
      <c r="A320" s="4" t="s">
        <v>2529</v>
      </c>
      <c r="B320" s="4" t="s">
        <v>2530</v>
      </c>
      <c r="C320" s="4" t="s">
        <v>2531</v>
      </c>
      <c r="D320" s="4" t="s">
        <v>44</v>
      </c>
      <c r="E320" s="9" t="n">
        <v>38985</v>
      </c>
      <c r="F320" s="4" t="s">
        <v>45</v>
      </c>
      <c r="G320" s="4" t="s">
        <v>15</v>
      </c>
      <c r="H320" s="4" t="s">
        <v>46</v>
      </c>
      <c r="I320" s="7" t="n">
        <v>2018</v>
      </c>
      <c r="J320" s="7" t="n">
        <v>2024</v>
      </c>
      <c r="K320" s="4" t="s">
        <v>2532</v>
      </c>
      <c r="L320" s="4" t="s">
        <v>2533</v>
      </c>
      <c r="M320" s="4" t="s">
        <v>2534</v>
      </c>
      <c r="N320" s="4" t="s">
        <v>2535</v>
      </c>
      <c r="O320" s="4" t="s">
        <v>2536</v>
      </c>
      <c r="P320" s="4" t="s">
        <v>52</v>
      </c>
    </row>
    <row r="321" customFormat="false" ht="15" hidden="false" customHeight="false" outlineLevel="0" collapsed="false">
      <c r="A321" s="4" t="s">
        <v>2537</v>
      </c>
      <c r="B321" s="4" t="s">
        <v>2538</v>
      </c>
      <c r="C321" s="4" t="s">
        <v>2539</v>
      </c>
      <c r="D321" s="4" t="s">
        <v>66</v>
      </c>
      <c r="E321" s="9" t="n">
        <v>38623</v>
      </c>
      <c r="F321" s="4" t="s">
        <v>45</v>
      </c>
      <c r="G321" s="4" t="s">
        <v>16</v>
      </c>
      <c r="H321" s="4" t="s">
        <v>46</v>
      </c>
      <c r="I321" s="7" t="n">
        <v>2018</v>
      </c>
      <c r="J321" s="7" t="n">
        <v>2024</v>
      </c>
      <c r="K321" s="4" t="s">
        <v>2540</v>
      </c>
      <c r="L321" s="4" t="s">
        <v>2541</v>
      </c>
      <c r="M321" s="4" t="s">
        <v>2542</v>
      </c>
      <c r="N321" s="4" t="s">
        <v>2543</v>
      </c>
      <c r="O321" s="4" t="s">
        <v>2544</v>
      </c>
      <c r="P321" s="4" t="s">
        <v>52</v>
      </c>
    </row>
    <row r="322" customFormat="false" ht="15" hidden="false" customHeight="false" outlineLevel="0" collapsed="false">
      <c r="A322" s="4" t="s">
        <v>2545</v>
      </c>
      <c r="B322" s="4" t="s">
        <v>2546</v>
      </c>
      <c r="C322" s="4" t="s">
        <v>2547</v>
      </c>
      <c r="D322" s="4" t="s">
        <v>44</v>
      </c>
      <c r="E322" s="9" t="n">
        <v>37684</v>
      </c>
      <c r="F322" s="4" t="s">
        <v>142</v>
      </c>
      <c r="G322" s="4" t="s">
        <v>14</v>
      </c>
      <c r="H322" s="4" t="s">
        <v>67</v>
      </c>
      <c r="I322" s="7" t="n">
        <v>2015</v>
      </c>
      <c r="J322" s="7" t="n">
        <v>2021</v>
      </c>
      <c r="K322" s="4" t="s">
        <v>2548</v>
      </c>
      <c r="L322" s="4" t="s">
        <v>2549</v>
      </c>
      <c r="M322" s="4" t="s">
        <v>2550</v>
      </c>
      <c r="N322" s="4" t="s">
        <v>2551</v>
      </c>
      <c r="O322" s="4" t="s">
        <v>2552</v>
      </c>
      <c r="P322" s="4" t="s">
        <v>52</v>
      </c>
    </row>
    <row r="323" customFormat="false" ht="15" hidden="false" customHeight="false" outlineLevel="0" collapsed="false">
      <c r="A323" s="4" t="s">
        <v>2553</v>
      </c>
      <c r="B323" s="4" t="s">
        <v>2554</v>
      </c>
      <c r="C323" s="4" t="s">
        <v>758</v>
      </c>
      <c r="D323" s="4" t="s">
        <v>66</v>
      </c>
      <c r="E323" s="9" t="n">
        <v>38255</v>
      </c>
      <c r="F323" s="4" t="s">
        <v>56</v>
      </c>
      <c r="G323" s="4" t="s">
        <v>15</v>
      </c>
      <c r="H323" s="4" t="s">
        <v>57</v>
      </c>
      <c r="I323" s="7" t="n">
        <v>2016</v>
      </c>
      <c r="J323" s="7" t="n">
        <v>2022</v>
      </c>
      <c r="K323" s="4" t="s">
        <v>2555</v>
      </c>
      <c r="L323" s="4" t="s">
        <v>2556</v>
      </c>
      <c r="M323" s="4" t="s">
        <v>2557</v>
      </c>
      <c r="N323" s="4" t="s">
        <v>2558</v>
      </c>
      <c r="O323" s="4" t="s">
        <v>2559</v>
      </c>
      <c r="P323" s="4" t="s">
        <v>52</v>
      </c>
    </row>
    <row r="324" customFormat="false" ht="15" hidden="false" customHeight="false" outlineLevel="0" collapsed="false">
      <c r="A324" s="4" t="s">
        <v>2560</v>
      </c>
      <c r="B324" s="4" t="s">
        <v>2561</v>
      </c>
      <c r="C324" s="4" t="s">
        <v>2562</v>
      </c>
      <c r="D324" s="4" t="s">
        <v>44</v>
      </c>
      <c r="E324" s="9" t="n">
        <v>38166</v>
      </c>
      <c r="F324" s="4" t="s">
        <v>56</v>
      </c>
      <c r="G324" s="4" t="s">
        <v>18</v>
      </c>
      <c r="H324" s="4" t="s">
        <v>67</v>
      </c>
      <c r="I324" s="7" t="n">
        <v>2016</v>
      </c>
      <c r="J324" s="7" t="n">
        <v>2022</v>
      </c>
      <c r="K324" s="4" t="s">
        <v>2563</v>
      </c>
      <c r="L324" s="4" t="s">
        <v>2564</v>
      </c>
      <c r="M324" s="4" t="s">
        <v>2565</v>
      </c>
      <c r="N324" s="4" t="s">
        <v>2566</v>
      </c>
      <c r="O324" s="4" t="s">
        <v>2567</v>
      </c>
      <c r="P324" s="4" t="s">
        <v>52</v>
      </c>
    </row>
    <row r="325" customFormat="false" ht="15" hidden="false" customHeight="false" outlineLevel="0" collapsed="false">
      <c r="A325" s="4" t="s">
        <v>2568</v>
      </c>
      <c r="B325" s="4" t="s">
        <v>2569</v>
      </c>
      <c r="C325" s="4" t="s">
        <v>2570</v>
      </c>
      <c r="D325" s="4" t="s">
        <v>44</v>
      </c>
      <c r="E325" s="9" t="n">
        <v>37765</v>
      </c>
      <c r="F325" s="4" t="s">
        <v>45</v>
      </c>
      <c r="G325" s="4" t="s">
        <v>14</v>
      </c>
      <c r="H325" s="4" t="s">
        <v>67</v>
      </c>
      <c r="I325" s="7" t="n">
        <v>2016</v>
      </c>
      <c r="J325" s="7" t="n">
        <v>2021</v>
      </c>
      <c r="K325" s="4" t="s">
        <v>2571</v>
      </c>
      <c r="L325" s="4" t="s">
        <v>2572</v>
      </c>
      <c r="M325" s="4" t="s">
        <v>2573</v>
      </c>
      <c r="N325" s="4" t="s">
        <v>2574</v>
      </c>
      <c r="O325" s="4" t="s">
        <v>2575</v>
      </c>
      <c r="P325" s="4" t="s">
        <v>52</v>
      </c>
    </row>
    <row r="326" customFormat="false" ht="15" hidden="false" customHeight="false" outlineLevel="0" collapsed="false">
      <c r="A326" s="4" t="s">
        <v>2576</v>
      </c>
      <c r="B326" s="4" t="s">
        <v>2577</v>
      </c>
      <c r="C326" s="4" t="s">
        <v>1216</v>
      </c>
      <c r="D326" s="4" t="s">
        <v>44</v>
      </c>
      <c r="E326" s="9" t="n">
        <v>39210</v>
      </c>
      <c r="F326" s="4" t="s">
        <v>142</v>
      </c>
      <c r="G326" s="4" t="s">
        <v>15</v>
      </c>
      <c r="H326" s="4" t="s">
        <v>67</v>
      </c>
      <c r="I326" s="7" t="n">
        <v>2020</v>
      </c>
      <c r="J326" s="7" t="n">
        <v>2025</v>
      </c>
      <c r="K326" s="4" t="s">
        <v>2578</v>
      </c>
      <c r="L326" s="4" t="s">
        <v>2579</v>
      </c>
      <c r="M326" s="4" t="s">
        <v>1836</v>
      </c>
      <c r="N326" s="4" t="s">
        <v>2580</v>
      </c>
      <c r="O326" s="4" t="s">
        <v>2581</v>
      </c>
      <c r="P326" s="4" t="s">
        <v>52</v>
      </c>
    </row>
    <row r="327" customFormat="false" ht="15" hidden="false" customHeight="false" outlineLevel="0" collapsed="false">
      <c r="A327" s="4" t="s">
        <v>2582</v>
      </c>
      <c r="B327" s="4" t="s">
        <v>1933</v>
      </c>
      <c r="C327" s="4" t="s">
        <v>205</v>
      </c>
      <c r="D327" s="4" t="s">
        <v>66</v>
      </c>
      <c r="E327" s="9" t="n">
        <v>38851</v>
      </c>
      <c r="F327" s="4" t="s">
        <v>142</v>
      </c>
      <c r="G327" s="4" t="s">
        <v>14</v>
      </c>
      <c r="H327" s="4" t="s">
        <v>57</v>
      </c>
      <c r="I327" s="7" t="n">
        <v>2019</v>
      </c>
      <c r="J327" s="7" t="n">
        <v>2024</v>
      </c>
      <c r="K327" s="4" t="s">
        <v>2583</v>
      </c>
      <c r="L327" s="4" t="s">
        <v>2584</v>
      </c>
      <c r="M327" s="4" t="s">
        <v>2585</v>
      </c>
      <c r="N327" s="4" t="s">
        <v>2586</v>
      </c>
      <c r="O327" s="4" t="s">
        <v>2587</v>
      </c>
      <c r="P327" s="4" t="s">
        <v>52</v>
      </c>
    </row>
    <row r="328" customFormat="false" ht="15" hidden="false" customHeight="false" outlineLevel="0" collapsed="false">
      <c r="A328" s="4" t="s">
        <v>2588</v>
      </c>
      <c r="B328" s="4" t="s">
        <v>2589</v>
      </c>
      <c r="C328" s="4" t="s">
        <v>2590</v>
      </c>
      <c r="D328" s="4" t="s">
        <v>44</v>
      </c>
      <c r="E328" s="9" t="n">
        <v>38355</v>
      </c>
      <c r="F328" s="4" t="s">
        <v>56</v>
      </c>
      <c r="G328" s="4" t="s">
        <v>17</v>
      </c>
      <c r="H328" s="4" t="s">
        <v>57</v>
      </c>
      <c r="I328" s="7" t="n">
        <v>2018</v>
      </c>
      <c r="J328" s="7" t="n">
        <v>2023</v>
      </c>
      <c r="K328" s="4" t="s">
        <v>2591</v>
      </c>
      <c r="L328" s="4" t="s">
        <v>2592</v>
      </c>
      <c r="M328" s="4" t="s">
        <v>2593</v>
      </c>
      <c r="N328" s="4" t="s">
        <v>2594</v>
      </c>
      <c r="O328" s="4" t="s">
        <v>2595</v>
      </c>
      <c r="P328" s="4" t="s">
        <v>52</v>
      </c>
    </row>
    <row r="329" customFormat="false" ht="15" hidden="false" customHeight="false" outlineLevel="0" collapsed="false">
      <c r="A329" s="4" t="s">
        <v>2596</v>
      </c>
      <c r="B329" s="4" t="s">
        <v>2597</v>
      </c>
      <c r="C329" s="4" t="s">
        <v>2598</v>
      </c>
      <c r="D329" s="4" t="s">
        <v>66</v>
      </c>
      <c r="E329" s="9" t="n">
        <v>38456</v>
      </c>
      <c r="F329" s="4" t="s">
        <v>77</v>
      </c>
      <c r="G329" s="4" t="s">
        <v>14</v>
      </c>
      <c r="H329" s="4" t="s">
        <v>57</v>
      </c>
      <c r="I329" s="7" t="n">
        <v>2018</v>
      </c>
      <c r="J329" s="7" t="n">
        <v>2023</v>
      </c>
      <c r="K329" s="4" t="s">
        <v>2599</v>
      </c>
      <c r="L329" s="4" t="s">
        <v>2600</v>
      </c>
      <c r="M329" s="4" t="s">
        <v>2601</v>
      </c>
      <c r="N329" s="4" t="s">
        <v>2602</v>
      </c>
      <c r="O329" s="4" t="s">
        <v>2603</v>
      </c>
      <c r="P329" s="4" t="s">
        <v>52</v>
      </c>
    </row>
    <row r="330" customFormat="false" ht="15" hidden="false" customHeight="false" outlineLevel="0" collapsed="false">
      <c r="A330" s="4" t="s">
        <v>2604</v>
      </c>
      <c r="B330" s="4" t="s">
        <v>2605</v>
      </c>
      <c r="C330" s="4" t="s">
        <v>2606</v>
      </c>
      <c r="D330" s="4" t="s">
        <v>66</v>
      </c>
      <c r="E330" s="9" t="n">
        <v>37737</v>
      </c>
      <c r="F330" s="4" t="s">
        <v>45</v>
      </c>
      <c r="G330" s="4" t="s">
        <v>15</v>
      </c>
      <c r="H330" s="4" t="s">
        <v>57</v>
      </c>
      <c r="I330" s="7" t="n">
        <v>2015</v>
      </c>
      <c r="J330" s="7" t="n">
        <v>2021</v>
      </c>
      <c r="K330" s="4" t="s">
        <v>2607</v>
      </c>
      <c r="L330" s="4" t="s">
        <v>2608</v>
      </c>
      <c r="M330" s="4" t="s">
        <v>2609</v>
      </c>
      <c r="N330" s="4" t="s">
        <v>2610</v>
      </c>
      <c r="O330" s="4" t="s">
        <v>2611</v>
      </c>
      <c r="P330" s="4" t="s">
        <v>52</v>
      </c>
    </row>
    <row r="331" customFormat="false" ht="15" hidden="false" customHeight="false" outlineLevel="0" collapsed="false">
      <c r="A331" s="4" t="s">
        <v>2612</v>
      </c>
      <c r="B331" s="4" t="s">
        <v>2613</v>
      </c>
      <c r="C331" s="4" t="s">
        <v>2614</v>
      </c>
      <c r="D331" s="4" t="s">
        <v>44</v>
      </c>
      <c r="E331" s="9" t="n">
        <v>37409</v>
      </c>
      <c r="F331" s="4" t="s">
        <v>142</v>
      </c>
      <c r="G331" s="4" t="s">
        <v>17</v>
      </c>
      <c r="H331" s="4" t="s">
        <v>67</v>
      </c>
      <c r="I331" s="7" t="n">
        <v>2016</v>
      </c>
      <c r="J331" s="7" t="n">
        <v>2021</v>
      </c>
      <c r="K331" s="4" t="s">
        <v>2615</v>
      </c>
      <c r="L331" s="4" t="s">
        <v>2616</v>
      </c>
      <c r="M331" s="4" t="s">
        <v>2617</v>
      </c>
      <c r="N331" s="4" t="s">
        <v>2618</v>
      </c>
      <c r="O331" s="4" t="s">
        <v>2619</v>
      </c>
      <c r="P331" s="4" t="s">
        <v>52</v>
      </c>
    </row>
    <row r="332" customFormat="false" ht="15" hidden="false" customHeight="false" outlineLevel="0" collapsed="false">
      <c r="A332" s="4" t="s">
        <v>2620</v>
      </c>
      <c r="B332" s="4" t="s">
        <v>2621</v>
      </c>
      <c r="C332" s="4" t="s">
        <v>2622</v>
      </c>
      <c r="D332" s="4" t="s">
        <v>66</v>
      </c>
      <c r="E332" s="9" t="n">
        <v>37735</v>
      </c>
      <c r="F332" s="4" t="s">
        <v>77</v>
      </c>
      <c r="G332" s="4" t="s">
        <v>15</v>
      </c>
      <c r="H332" s="4" t="s">
        <v>67</v>
      </c>
      <c r="I332" s="7" t="n">
        <v>2017</v>
      </c>
      <c r="J332" s="7" t="n">
        <v>2022</v>
      </c>
      <c r="K332" s="4" t="s">
        <v>2623</v>
      </c>
      <c r="L332" s="4" t="s">
        <v>2624</v>
      </c>
      <c r="M332" s="4" t="s">
        <v>2625</v>
      </c>
      <c r="N332" s="4" t="s">
        <v>2626</v>
      </c>
      <c r="O332" s="4" t="s">
        <v>2627</v>
      </c>
      <c r="P332" s="4" t="s">
        <v>52</v>
      </c>
    </row>
    <row r="333" customFormat="false" ht="15" hidden="false" customHeight="false" outlineLevel="0" collapsed="false">
      <c r="A333" s="4" t="s">
        <v>2628</v>
      </c>
      <c r="B333" s="4" t="s">
        <v>2629</v>
      </c>
      <c r="C333" s="4" t="s">
        <v>2630</v>
      </c>
      <c r="D333" s="4" t="s">
        <v>44</v>
      </c>
      <c r="E333" s="9" t="n">
        <v>38771</v>
      </c>
      <c r="F333" s="4" t="s">
        <v>45</v>
      </c>
      <c r="G333" s="4" t="s">
        <v>18</v>
      </c>
      <c r="H333" s="4" t="s">
        <v>46</v>
      </c>
      <c r="I333" s="7" t="n">
        <v>2020</v>
      </c>
      <c r="J333" s="7" t="n">
        <v>2025</v>
      </c>
      <c r="K333" s="4" t="s">
        <v>2631</v>
      </c>
      <c r="L333" s="4" t="s">
        <v>2632</v>
      </c>
      <c r="M333" s="4" t="s">
        <v>2633</v>
      </c>
      <c r="N333" s="4" t="s">
        <v>2634</v>
      </c>
      <c r="O333" s="4" t="s">
        <v>2635</v>
      </c>
      <c r="P333" s="4" t="s">
        <v>52</v>
      </c>
    </row>
    <row r="334" customFormat="false" ht="15" hidden="false" customHeight="false" outlineLevel="0" collapsed="false">
      <c r="A334" s="4" t="s">
        <v>2636</v>
      </c>
      <c r="B334" s="4" t="s">
        <v>2637</v>
      </c>
      <c r="C334" s="4" t="s">
        <v>2638</v>
      </c>
      <c r="D334" s="4" t="s">
        <v>44</v>
      </c>
      <c r="E334" s="9" t="n">
        <v>37724</v>
      </c>
      <c r="F334" s="4" t="s">
        <v>56</v>
      </c>
      <c r="G334" s="4" t="s">
        <v>15</v>
      </c>
      <c r="H334" s="4" t="s">
        <v>78</v>
      </c>
      <c r="I334" s="7" t="n">
        <v>2015</v>
      </c>
      <c r="J334" s="7" t="n">
        <v>2021</v>
      </c>
      <c r="K334" s="4" t="s">
        <v>2639</v>
      </c>
      <c r="L334" s="4" t="s">
        <v>2640</v>
      </c>
      <c r="M334" s="4" t="s">
        <v>868</v>
      </c>
      <c r="N334" s="4" t="s">
        <v>2641</v>
      </c>
      <c r="O334" s="4" t="s">
        <v>2642</v>
      </c>
      <c r="P334" s="4" t="s">
        <v>52</v>
      </c>
    </row>
    <row r="335" customFormat="false" ht="15" hidden="false" customHeight="false" outlineLevel="0" collapsed="false">
      <c r="A335" s="4" t="s">
        <v>2643</v>
      </c>
      <c r="B335" s="4" t="s">
        <v>2644</v>
      </c>
      <c r="C335" s="4" t="s">
        <v>2645</v>
      </c>
      <c r="D335" s="4" t="s">
        <v>44</v>
      </c>
      <c r="E335" s="9" t="n">
        <v>38247</v>
      </c>
      <c r="F335" s="4" t="s">
        <v>56</v>
      </c>
      <c r="G335" s="4" t="s">
        <v>16</v>
      </c>
      <c r="H335" s="4" t="s">
        <v>57</v>
      </c>
      <c r="I335" s="7" t="n">
        <v>2018</v>
      </c>
      <c r="J335" s="7" t="n">
        <v>2023</v>
      </c>
      <c r="K335" s="4" t="s">
        <v>2646</v>
      </c>
      <c r="L335" s="4" t="s">
        <v>2647</v>
      </c>
      <c r="M335" s="4" t="s">
        <v>2648</v>
      </c>
      <c r="N335" s="4" t="s">
        <v>2649</v>
      </c>
      <c r="O335" s="4" t="s">
        <v>2650</v>
      </c>
      <c r="P335" s="4" t="s">
        <v>52</v>
      </c>
    </row>
    <row r="336" customFormat="false" ht="15" hidden="false" customHeight="false" outlineLevel="0" collapsed="false">
      <c r="A336" s="4" t="s">
        <v>2651</v>
      </c>
      <c r="B336" s="4" t="s">
        <v>2652</v>
      </c>
      <c r="C336" s="4" t="s">
        <v>2653</v>
      </c>
      <c r="D336" s="4" t="s">
        <v>66</v>
      </c>
      <c r="E336" s="9" t="n">
        <v>37762</v>
      </c>
      <c r="F336" s="4" t="s">
        <v>56</v>
      </c>
      <c r="G336" s="4" t="s">
        <v>15</v>
      </c>
      <c r="H336" s="4" t="s">
        <v>78</v>
      </c>
      <c r="I336" s="7" t="n">
        <v>2015</v>
      </c>
      <c r="J336" s="7" t="n">
        <v>2021</v>
      </c>
      <c r="K336" s="4" t="s">
        <v>2654</v>
      </c>
      <c r="L336" s="4" t="s">
        <v>2655</v>
      </c>
      <c r="M336" s="4" t="s">
        <v>2656</v>
      </c>
      <c r="N336" s="4" t="s">
        <v>2657</v>
      </c>
      <c r="O336" s="4" t="s">
        <v>2658</v>
      </c>
      <c r="P336" s="4" t="s">
        <v>52</v>
      </c>
    </row>
    <row r="337" customFormat="false" ht="15" hidden="false" customHeight="false" outlineLevel="0" collapsed="false">
      <c r="A337" s="4" t="s">
        <v>2659</v>
      </c>
      <c r="B337" s="4" t="s">
        <v>2660</v>
      </c>
      <c r="C337" s="4" t="s">
        <v>2661</v>
      </c>
      <c r="D337" s="4" t="s">
        <v>66</v>
      </c>
      <c r="E337" s="9" t="n">
        <v>38084</v>
      </c>
      <c r="F337" s="4" t="s">
        <v>56</v>
      </c>
      <c r="G337" s="4" t="s">
        <v>17</v>
      </c>
      <c r="H337" s="4" t="s">
        <v>57</v>
      </c>
      <c r="I337" s="7" t="n">
        <v>2018</v>
      </c>
      <c r="J337" s="7" t="n">
        <v>2023</v>
      </c>
      <c r="K337" s="4" t="s">
        <v>2662</v>
      </c>
      <c r="L337" s="4" t="s">
        <v>2663</v>
      </c>
      <c r="M337" s="4" t="s">
        <v>868</v>
      </c>
      <c r="N337" s="4" t="s">
        <v>2664</v>
      </c>
      <c r="O337" s="4" t="s">
        <v>2665</v>
      </c>
      <c r="P337" s="4" t="s">
        <v>52</v>
      </c>
    </row>
    <row r="338" customFormat="false" ht="15" hidden="false" customHeight="false" outlineLevel="0" collapsed="false">
      <c r="A338" s="4" t="s">
        <v>2666</v>
      </c>
      <c r="B338" s="4" t="s">
        <v>2667</v>
      </c>
      <c r="C338" s="4" t="s">
        <v>2668</v>
      </c>
      <c r="D338" s="4" t="s">
        <v>44</v>
      </c>
      <c r="E338" s="9" t="n">
        <v>37546</v>
      </c>
      <c r="F338" s="4" t="s">
        <v>56</v>
      </c>
      <c r="G338" s="4" t="s">
        <v>16</v>
      </c>
      <c r="H338" s="4" t="s">
        <v>46</v>
      </c>
      <c r="I338" s="7" t="n">
        <v>2016</v>
      </c>
      <c r="J338" s="7" t="n">
        <v>2021</v>
      </c>
      <c r="K338" s="4" t="s">
        <v>2669</v>
      </c>
      <c r="L338" s="4" t="s">
        <v>2670</v>
      </c>
      <c r="M338" s="4" t="s">
        <v>2671</v>
      </c>
      <c r="N338" s="4" t="s">
        <v>2672</v>
      </c>
      <c r="O338" s="4" t="s">
        <v>2673</v>
      </c>
      <c r="P338" s="4" t="s">
        <v>52</v>
      </c>
    </row>
    <row r="339" customFormat="false" ht="15" hidden="false" customHeight="false" outlineLevel="0" collapsed="false">
      <c r="A339" s="4" t="s">
        <v>2674</v>
      </c>
      <c r="B339" s="4" t="s">
        <v>283</v>
      </c>
      <c r="C339" s="4" t="s">
        <v>2675</v>
      </c>
      <c r="D339" s="4" t="s">
        <v>44</v>
      </c>
      <c r="E339" s="9" t="n">
        <v>38879</v>
      </c>
      <c r="F339" s="4" t="s">
        <v>45</v>
      </c>
      <c r="G339" s="4" t="s">
        <v>14</v>
      </c>
      <c r="H339" s="4" t="s">
        <v>78</v>
      </c>
      <c r="I339" s="7" t="n">
        <v>2018</v>
      </c>
      <c r="J339" s="7" t="n">
        <v>2024</v>
      </c>
      <c r="K339" s="4" t="s">
        <v>2676</v>
      </c>
      <c r="L339" s="4" t="s">
        <v>2677</v>
      </c>
      <c r="M339" s="4" t="s">
        <v>797</v>
      </c>
      <c r="N339" s="4" t="s">
        <v>2678</v>
      </c>
      <c r="O339" s="4" t="s">
        <v>2679</v>
      </c>
      <c r="P339" s="4" t="s">
        <v>52</v>
      </c>
    </row>
    <row r="340" customFormat="false" ht="15" hidden="false" customHeight="false" outlineLevel="0" collapsed="false">
      <c r="A340" s="4" t="s">
        <v>2680</v>
      </c>
      <c r="B340" s="4" t="s">
        <v>2681</v>
      </c>
      <c r="C340" s="4" t="s">
        <v>2095</v>
      </c>
      <c r="D340" s="4" t="s">
        <v>44</v>
      </c>
      <c r="E340" s="9" t="n">
        <v>38379</v>
      </c>
      <c r="F340" s="4" t="s">
        <v>142</v>
      </c>
      <c r="G340" s="4" t="s">
        <v>16</v>
      </c>
      <c r="H340" s="4" t="s">
        <v>67</v>
      </c>
      <c r="I340" s="7" t="n">
        <v>2017</v>
      </c>
      <c r="J340" s="7" t="n">
        <v>2023</v>
      </c>
      <c r="K340" s="4" t="s">
        <v>2682</v>
      </c>
      <c r="L340" s="4" t="s">
        <v>2683</v>
      </c>
      <c r="M340" s="4" t="s">
        <v>639</v>
      </c>
      <c r="N340" s="4" t="s">
        <v>2684</v>
      </c>
      <c r="O340" s="4" t="s">
        <v>2685</v>
      </c>
      <c r="P340" s="4" t="s">
        <v>52</v>
      </c>
    </row>
    <row r="341" customFormat="false" ht="15" hidden="false" customHeight="false" outlineLevel="0" collapsed="false">
      <c r="A341" s="4" t="s">
        <v>2686</v>
      </c>
      <c r="B341" s="4" t="s">
        <v>2687</v>
      </c>
      <c r="C341" s="4" t="s">
        <v>2158</v>
      </c>
      <c r="D341" s="4" t="s">
        <v>44</v>
      </c>
      <c r="E341" s="9" t="n">
        <v>39374</v>
      </c>
      <c r="F341" s="4" t="s">
        <v>77</v>
      </c>
      <c r="G341" s="4" t="s">
        <v>15</v>
      </c>
      <c r="H341" s="4" t="s">
        <v>67</v>
      </c>
      <c r="I341" s="7" t="n">
        <v>2020</v>
      </c>
      <c r="J341" s="7" t="n">
        <v>2025</v>
      </c>
      <c r="K341" s="4" t="s">
        <v>2688</v>
      </c>
      <c r="L341" s="4" t="s">
        <v>2689</v>
      </c>
      <c r="M341" s="4" t="s">
        <v>2690</v>
      </c>
      <c r="N341" s="4" t="s">
        <v>2691</v>
      </c>
      <c r="O341" s="4" t="s">
        <v>2692</v>
      </c>
      <c r="P341" s="4" t="s">
        <v>73</v>
      </c>
    </row>
    <row r="342" customFormat="false" ht="15" hidden="false" customHeight="false" outlineLevel="0" collapsed="false">
      <c r="A342" s="4" t="s">
        <v>2693</v>
      </c>
      <c r="B342" s="4" t="s">
        <v>2694</v>
      </c>
      <c r="C342" s="4" t="s">
        <v>2695</v>
      </c>
      <c r="D342" s="4" t="s">
        <v>44</v>
      </c>
      <c r="E342" s="9" t="n">
        <v>39154</v>
      </c>
      <c r="F342" s="4" t="s">
        <v>45</v>
      </c>
      <c r="G342" s="4" t="s">
        <v>17</v>
      </c>
      <c r="H342" s="4" t="s">
        <v>46</v>
      </c>
      <c r="I342" s="7" t="n">
        <v>2020</v>
      </c>
      <c r="J342" s="7" t="n">
        <v>2025</v>
      </c>
      <c r="K342" s="4" t="s">
        <v>2696</v>
      </c>
      <c r="L342" s="4" t="s">
        <v>2697</v>
      </c>
      <c r="M342" s="4" t="s">
        <v>2698</v>
      </c>
      <c r="N342" s="4" t="s">
        <v>2699</v>
      </c>
      <c r="O342" s="4" t="s">
        <v>2700</v>
      </c>
      <c r="P342" s="4" t="s">
        <v>73</v>
      </c>
    </row>
    <row r="343" customFormat="false" ht="15" hidden="false" customHeight="false" outlineLevel="0" collapsed="false">
      <c r="A343" s="4" t="s">
        <v>2701</v>
      </c>
      <c r="B343" s="4" t="s">
        <v>2702</v>
      </c>
      <c r="C343" s="4" t="s">
        <v>2703</v>
      </c>
      <c r="D343" s="4" t="s">
        <v>44</v>
      </c>
      <c r="E343" s="9" t="n">
        <v>38683</v>
      </c>
      <c r="F343" s="4" t="s">
        <v>56</v>
      </c>
      <c r="G343" s="4" t="s">
        <v>14</v>
      </c>
      <c r="H343" s="4" t="s">
        <v>78</v>
      </c>
      <c r="I343" s="7" t="n">
        <v>2019</v>
      </c>
      <c r="J343" s="7" t="n">
        <v>2024</v>
      </c>
      <c r="K343" s="4" t="s">
        <v>2704</v>
      </c>
      <c r="L343" s="4" t="s">
        <v>2705</v>
      </c>
      <c r="M343" s="4" t="s">
        <v>2706</v>
      </c>
      <c r="N343" s="4" t="s">
        <v>2707</v>
      </c>
      <c r="O343" s="4" t="s">
        <v>2708</v>
      </c>
      <c r="P343" s="4" t="s">
        <v>52</v>
      </c>
    </row>
    <row r="344" customFormat="false" ht="15" hidden="false" customHeight="false" outlineLevel="0" collapsed="false">
      <c r="A344" s="4" t="s">
        <v>2709</v>
      </c>
      <c r="B344" s="4" t="s">
        <v>2710</v>
      </c>
      <c r="C344" s="4" t="s">
        <v>2711</v>
      </c>
      <c r="D344" s="4" t="s">
        <v>44</v>
      </c>
      <c r="E344" s="9" t="n">
        <v>38804</v>
      </c>
      <c r="F344" s="4" t="s">
        <v>142</v>
      </c>
      <c r="G344" s="4" t="s">
        <v>16</v>
      </c>
      <c r="H344" s="4" t="s">
        <v>46</v>
      </c>
      <c r="I344" s="7" t="n">
        <v>2019</v>
      </c>
      <c r="J344" s="7" t="n">
        <v>2024</v>
      </c>
      <c r="K344" s="4" t="s">
        <v>2712</v>
      </c>
      <c r="L344" s="4" t="s">
        <v>2713</v>
      </c>
      <c r="M344" s="4" t="s">
        <v>2714</v>
      </c>
      <c r="N344" s="4" t="s">
        <v>2715</v>
      </c>
      <c r="O344" s="4" t="s">
        <v>2716</v>
      </c>
      <c r="P344" s="4" t="s">
        <v>52</v>
      </c>
    </row>
    <row r="345" customFormat="false" ht="15" hidden="false" customHeight="false" outlineLevel="0" collapsed="false">
      <c r="A345" s="4" t="s">
        <v>2717</v>
      </c>
      <c r="B345" s="4" t="s">
        <v>2718</v>
      </c>
      <c r="C345" s="4" t="s">
        <v>2719</v>
      </c>
      <c r="D345" s="4" t="s">
        <v>44</v>
      </c>
      <c r="E345" s="9" t="n">
        <v>38388</v>
      </c>
      <c r="F345" s="4" t="s">
        <v>77</v>
      </c>
      <c r="G345" s="4" t="s">
        <v>16</v>
      </c>
      <c r="H345" s="4" t="s">
        <v>57</v>
      </c>
      <c r="I345" s="7" t="n">
        <v>2018</v>
      </c>
      <c r="J345" s="7" t="n">
        <v>2024</v>
      </c>
      <c r="K345" s="4" t="s">
        <v>2720</v>
      </c>
      <c r="L345" s="4" t="s">
        <v>2721</v>
      </c>
      <c r="M345" s="4" t="s">
        <v>2722</v>
      </c>
      <c r="N345" s="4" t="s">
        <v>2723</v>
      </c>
      <c r="O345" s="4" t="s">
        <v>2724</v>
      </c>
      <c r="P345" s="4" t="s">
        <v>52</v>
      </c>
    </row>
    <row r="346" customFormat="false" ht="15" hidden="false" customHeight="false" outlineLevel="0" collapsed="false">
      <c r="A346" s="4" t="s">
        <v>2725</v>
      </c>
      <c r="B346" s="4" t="s">
        <v>2726</v>
      </c>
      <c r="C346" s="4" t="s">
        <v>2727</v>
      </c>
      <c r="D346" s="4" t="s">
        <v>44</v>
      </c>
      <c r="E346" s="9" t="n">
        <v>38762</v>
      </c>
      <c r="F346" s="4" t="s">
        <v>77</v>
      </c>
      <c r="G346" s="4" t="s">
        <v>18</v>
      </c>
      <c r="H346" s="4" t="s">
        <v>46</v>
      </c>
      <c r="I346" s="7" t="n">
        <v>2019</v>
      </c>
      <c r="J346" s="7" t="n">
        <v>2025</v>
      </c>
      <c r="K346" s="4" t="s">
        <v>2728</v>
      </c>
      <c r="L346" s="4" t="s">
        <v>2729</v>
      </c>
      <c r="M346" s="4" t="s">
        <v>2730</v>
      </c>
      <c r="N346" s="4" t="s">
        <v>2731</v>
      </c>
      <c r="O346" s="4" t="s">
        <v>2732</v>
      </c>
      <c r="P346" s="4" t="s">
        <v>52</v>
      </c>
    </row>
    <row r="347" customFormat="false" ht="15" hidden="false" customHeight="false" outlineLevel="0" collapsed="false">
      <c r="A347" s="4" t="s">
        <v>2733</v>
      </c>
      <c r="B347" s="4" t="s">
        <v>2734</v>
      </c>
      <c r="C347" s="4" t="s">
        <v>2735</v>
      </c>
      <c r="D347" s="4" t="s">
        <v>44</v>
      </c>
      <c r="E347" s="9" t="n">
        <v>37521</v>
      </c>
      <c r="F347" s="4" t="s">
        <v>77</v>
      </c>
      <c r="G347" s="4" t="s">
        <v>14</v>
      </c>
      <c r="H347" s="4" t="s">
        <v>46</v>
      </c>
      <c r="I347" s="7" t="n">
        <v>2015</v>
      </c>
      <c r="J347" s="7" t="n">
        <v>2021</v>
      </c>
      <c r="K347" s="4" t="s">
        <v>2736</v>
      </c>
      <c r="L347" s="4" t="s">
        <v>2737</v>
      </c>
      <c r="M347" s="4" t="s">
        <v>2738</v>
      </c>
      <c r="N347" s="4" t="s">
        <v>2739</v>
      </c>
      <c r="O347" s="4" t="s">
        <v>2740</v>
      </c>
      <c r="P347" s="4" t="s">
        <v>52</v>
      </c>
    </row>
    <row r="348" customFormat="false" ht="15" hidden="false" customHeight="false" outlineLevel="0" collapsed="false">
      <c r="A348" s="4" t="s">
        <v>2741</v>
      </c>
      <c r="B348" s="4" t="s">
        <v>2742</v>
      </c>
      <c r="C348" s="4" t="s">
        <v>2743</v>
      </c>
      <c r="D348" s="4" t="s">
        <v>66</v>
      </c>
      <c r="E348" s="9" t="n">
        <v>38689</v>
      </c>
      <c r="F348" s="4" t="s">
        <v>77</v>
      </c>
      <c r="G348" s="4" t="s">
        <v>18</v>
      </c>
      <c r="H348" s="4" t="s">
        <v>78</v>
      </c>
      <c r="I348" s="7" t="n">
        <v>2019</v>
      </c>
      <c r="J348" s="7" t="n">
        <v>2024</v>
      </c>
      <c r="K348" s="4" t="s">
        <v>403</v>
      </c>
      <c r="L348" s="4" t="s">
        <v>2744</v>
      </c>
      <c r="M348" s="4" t="s">
        <v>2745</v>
      </c>
      <c r="N348" s="4" t="s">
        <v>2746</v>
      </c>
      <c r="O348" s="4" t="s">
        <v>2747</v>
      </c>
      <c r="P348" s="4" t="s">
        <v>52</v>
      </c>
    </row>
    <row r="349" customFormat="false" ht="15" hidden="false" customHeight="false" outlineLevel="0" collapsed="false">
      <c r="A349" s="4" t="s">
        <v>2748</v>
      </c>
      <c r="B349" s="4" t="s">
        <v>2749</v>
      </c>
      <c r="C349" s="4" t="s">
        <v>2297</v>
      </c>
      <c r="D349" s="4" t="s">
        <v>44</v>
      </c>
      <c r="E349" s="9" t="n">
        <v>38585</v>
      </c>
      <c r="F349" s="4" t="s">
        <v>45</v>
      </c>
      <c r="G349" s="4" t="s">
        <v>17</v>
      </c>
      <c r="H349" s="4" t="s">
        <v>46</v>
      </c>
      <c r="I349" s="7" t="n">
        <v>2017</v>
      </c>
      <c r="J349" s="7" t="n">
        <v>2023</v>
      </c>
      <c r="K349" s="4" t="s">
        <v>2750</v>
      </c>
      <c r="L349" s="4" t="s">
        <v>2751</v>
      </c>
      <c r="M349" s="4" t="s">
        <v>2294</v>
      </c>
      <c r="N349" s="4" t="s">
        <v>2752</v>
      </c>
      <c r="O349" s="4" t="s">
        <v>2753</v>
      </c>
      <c r="P349" s="4" t="s">
        <v>52</v>
      </c>
    </row>
    <row r="350" customFormat="false" ht="15" hidden="false" customHeight="false" outlineLevel="0" collapsed="false">
      <c r="A350" s="4" t="s">
        <v>2754</v>
      </c>
      <c r="B350" s="4" t="s">
        <v>2755</v>
      </c>
      <c r="C350" s="4" t="s">
        <v>2756</v>
      </c>
      <c r="D350" s="4" t="s">
        <v>44</v>
      </c>
      <c r="E350" s="9" t="n">
        <v>38330</v>
      </c>
      <c r="F350" s="4" t="s">
        <v>56</v>
      </c>
      <c r="G350" s="4" t="s">
        <v>17</v>
      </c>
      <c r="H350" s="4" t="s">
        <v>46</v>
      </c>
      <c r="I350" s="7" t="n">
        <v>2018</v>
      </c>
      <c r="J350" s="7" t="n">
        <v>2023</v>
      </c>
      <c r="K350" s="4" t="s">
        <v>2757</v>
      </c>
      <c r="L350" s="4" t="s">
        <v>2758</v>
      </c>
      <c r="M350" s="4" t="s">
        <v>2759</v>
      </c>
      <c r="N350" s="4" t="s">
        <v>2760</v>
      </c>
      <c r="O350" s="4" t="s">
        <v>2761</v>
      </c>
      <c r="P350" s="4" t="s">
        <v>52</v>
      </c>
    </row>
    <row r="351" customFormat="false" ht="15" hidden="false" customHeight="false" outlineLevel="0" collapsed="false">
      <c r="A351" s="4" t="s">
        <v>2762</v>
      </c>
      <c r="B351" s="4" t="s">
        <v>2763</v>
      </c>
      <c r="C351" s="4" t="s">
        <v>2764</v>
      </c>
      <c r="D351" s="4" t="s">
        <v>44</v>
      </c>
      <c r="E351" s="9" t="n">
        <v>38337</v>
      </c>
      <c r="F351" s="4" t="s">
        <v>142</v>
      </c>
      <c r="G351" s="4" t="s">
        <v>18</v>
      </c>
      <c r="H351" s="4" t="s">
        <v>57</v>
      </c>
      <c r="I351" s="7" t="n">
        <v>2017</v>
      </c>
      <c r="J351" s="7" t="n">
        <v>2022</v>
      </c>
      <c r="K351" s="4" t="s">
        <v>2765</v>
      </c>
      <c r="L351" s="4" t="s">
        <v>2766</v>
      </c>
      <c r="M351" s="4" t="s">
        <v>102</v>
      </c>
      <c r="N351" s="4" t="s">
        <v>2767</v>
      </c>
      <c r="O351" s="4" t="s">
        <v>2768</v>
      </c>
      <c r="P351" s="4" t="s">
        <v>52</v>
      </c>
    </row>
    <row r="352" customFormat="false" ht="15" hidden="false" customHeight="false" outlineLevel="0" collapsed="false">
      <c r="A352" s="4" t="s">
        <v>2769</v>
      </c>
      <c r="B352" s="4" t="s">
        <v>2770</v>
      </c>
      <c r="C352" s="4" t="s">
        <v>2771</v>
      </c>
      <c r="D352" s="4" t="s">
        <v>44</v>
      </c>
      <c r="E352" s="9" t="n">
        <v>39363</v>
      </c>
      <c r="F352" s="4" t="s">
        <v>56</v>
      </c>
      <c r="G352" s="4" t="s">
        <v>14</v>
      </c>
      <c r="H352" s="4" t="s">
        <v>57</v>
      </c>
      <c r="I352" s="7" t="n">
        <v>2019</v>
      </c>
      <c r="J352" s="7" t="n">
        <v>2025</v>
      </c>
      <c r="K352" s="4" t="s">
        <v>2772</v>
      </c>
      <c r="L352" s="4" t="s">
        <v>2773</v>
      </c>
      <c r="M352" s="4" t="s">
        <v>2774</v>
      </c>
      <c r="N352" s="4" t="s">
        <v>2775</v>
      </c>
      <c r="O352" s="4" t="s">
        <v>2776</v>
      </c>
      <c r="P352" s="4" t="s">
        <v>73</v>
      </c>
    </row>
    <row r="353" customFormat="false" ht="15" hidden="false" customHeight="false" outlineLevel="0" collapsed="false">
      <c r="A353" s="4" t="s">
        <v>2777</v>
      </c>
      <c r="B353" s="4" t="s">
        <v>2778</v>
      </c>
      <c r="C353" s="4" t="s">
        <v>926</v>
      </c>
      <c r="D353" s="4" t="s">
        <v>44</v>
      </c>
      <c r="E353" s="9" t="n">
        <v>38649</v>
      </c>
      <c r="F353" s="4" t="s">
        <v>56</v>
      </c>
      <c r="G353" s="4" t="s">
        <v>15</v>
      </c>
      <c r="H353" s="4" t="s">
        <v>78</v>
      </c>
      <c r="I353" s="7" t="n">
        <v>2019</v>
      </c>
      <c r="J353" s="7" t="n">
        <v>2024</v>
      </c>
      <c r="K353" s="4" t="s">
        <v>2779</v>
      </c>
      <c r="L353" s="4" t="s">
        <v>2780</v>
      </c>
      <c r="M353" s="4" t="s">
        <v>2781</v>
      </c>
      <c r="N353" s="4" t="s">
        <v>2782</v>
      </c>
      <c r="O353" s="4" t="s">
        <v>2783</v>
      </c>
      <c r="P353" s="4" t="s">
        <v>52</v>
      </c>
    </row>
    <row r="354" customFormat="false" ht="15" hidden="false" customHeight="false" outlineLevel="0" collapsed="false">
      <c r="A354" s="4" t="s">
        <v>2784</v>
      </c>
      <c r="B354" s="4" t="s">
        <v>2477</v>
      </c>
      <c r="C354" s="4" t="s">
        <v>2785</v>
      </c>
      <c r="D354" s="4" t="s">
        <v>44</v>
      </c>
      <c r="E354" s="9" t="n">
        <v>38074</v>
      </c>
      <c r="F354" s="4" t="s">
        <v>77</v>
      </c>
      <c r="G354" s="4" t="s">
        <v>14</v>
      </c>
      <c r="H354" s="4" t="s">
        <v>78</v>
      </c>
      <c r="I354" s="7" t="n">
        <v>2018</v>
      </c>
      <c r="J354" s="7" t="n">
        <v>2023</v>
      </c>
      <c r="K354" s="4" t="s">
        <v>2786</v>
      </c>
      <c r="L354" s="4" t="s">
        <v>2787</v>
      </c>
      <c r="M354" s="4" t="s">
        <v>2788</v>
      </c>
      <c r="N354" s="4" t="s">
        <v>2789</v>
      </c>
      <c r="O354" s="4" t="s">
        <v>2790</v>
      </c>
      <c r="P354" s="4" t="s">
        <v>52</v>
      </c>
    </row>
    <row r="355" customFormat="false" ht="15" hidden="false" customHeight="false" outlineLevel="0" collapsed="false">
      <c r="A355" s="4" t="s">
        <v>2791</v>
      </c>
      <c r="B355" s="4" t="s">
        <v>2792</v>
      </c>
      <c r="C355" s="4" t="s">
        <v>389</v>
      </c>
      <c r="D355" s="4" t="s">
        <v>44</v>
      </c>
      <c r="E355" s="9" t="n">
        <v>37871</v>
      </c>
      <c r="F355" s="4" t="s">
        <v>45</v>
      </c>
      <c r="G355" s="4" t="s">
        <v>16</v>
      </c>
      <c r="H355" s="4" t="s">
        <v>57</v>
      </c>
      <c r="I355" s="7" t="n">
        <v>2017</v>
      </c>
      <c r="J355" s="7" t="n">
        <v>2022</v>
      </c>
      <c r="K355" s="4" t="s">
        <v>2793</v>
      </c>
      <c r="L355" s="4" t="s">
        <v>2794</v>
      </c>
      <c r="M355" s="4" t="s">
        <v>2795</v>
      </c>
      <c r="N355" s="4" t="s">
        <v>2796</v>
      </c>
      <c r="O355" s="4" t="s">
        <v>2797</v>
      </c>
      <c r="P355" s="4" t="s">
        <v>52</v>
      </c>
    </row>
    <row r="356" customFormat="false" ht="15" hidden="false" customHeight="false" outlineLevel="0" collapsed="false">
      <c r="A356" s="4" t="s">
        <v>2798</v>
      </c>
      <c r="B356" s="4" t="s">
        <v>2799</v>
      </c>
      <c r="C356" s="4" t="s">
        <v>2800</v>
      </c>
      <c r="D356" s="4" t="s">
        <v>66</v>
      </c>
      <c r="E356" s="9" t="n">
        <v>38538</v>
      </c>
      <c r="F356" s="4" t="s">
        <v>45</v>
      </c>
      <c r="G356" s="4" t="s">
        <v>14</v>
      </c>
      <c r="H356" s="4" t="s">
        <v>46</v>
      </c>
      <c r="I356" s="7" t="n">
        <v>2019</v>
      </c>
      <c r="J356" s="7" t="n">
        <v>2024</v>
      </c>
      <c r="K356" s="4" t="s">
        <v>2801</v>
      </c>
      <c r="L356" s="4" t="s">
        <v>2802</v>
      </c>
      <c r="M356" s="4" t="s">
        <v>2759</v>
      </c>
      <c r="N356" s="4" t="s">
        <v>2803</v>
      </c>
      <c r="O356" s="4" t="s">
        <v>2804</v>
      </c>
      <c r="P356" s="4" t="s">
        <v>52</v>
      </c>
    </row>
    <row r="357" customFormat="false" ht="15" hidden="false" customHeight="false" outlineLevel="0" collapsed="false">
      <c r="A357" s="4" t="s">
        <v>2805</v>
      </c>
      <c r="B357" s="4" t="s">
        <v>2806</v>
      </c>
      <c r="C357" s="4" t="s">
        <v>2598</v>
      </c>
      <c r="D357" s="4" t="s">
        <v>66</v>
      </c>
      <c r="E357" s="9" t="n">
        <v>38240</v>
      </c>
      <c r="F357" s="4" t="s">
        <v>142</v>
      </c>
      <c r="G357" s="4" t="s">
        <v>14</v>
      </c>
      <c r="H357" s="4" t="s">
        <v>46</v>
      </c>
      <c r="I357" s="7" t="n">
        <v>2016</v>
      </c>
      <c r="J357" s="7" t="n">
        <v>2022</v>
      </c>
      <c r="K357" s="4" t="s">
        <v>2807</v>
      </c>
      <c r="L357" s="4" t="s">
        <v>2808</v>
      </c>
      <c r="M357" s="4" t="s">
        <v>2809</v>
      </c>
      <c r="N357" s="4" t="s">
        <v>2810</v>
      </c>
      <c r="O357" s="4" t="s">
        <v>2811</v>
      </c>
      <c r="P357" s="4" t="s">
        <v>52</v>
      </c>
    </row>
    <row r="358" customFormat="false" ht="15" hidden="false" customHeight="false" outlineLevel="0" collapsed="false">
      <c r="A358" s="4" t="s">
        <v>2812</v>
      </c>
      <c r="B358" s="4" t="s">
        <v>2813</v>
      </c>
      <c r="C358" s="4" t="s">
        <v>2018</v>
      </c>
      <c r="D358" s="4" t="s">
        <v>44</v>
      </c>
      <c r="E358" s="9" t="n">
        <v>37341</v>
      </c>
      <c r="F358" s="4" t="s">
        <v>45</v>
      </c>
      <c r="G358" s="4" t="s">
        <v>17</v>
      </c>
      <c r="H358" s="4" t="s">
        <v>57</v>
      </c>
      <c r="I358" s="7" t="n">
        <v>2015</v>
      </c>
      <c r="J358" s="7" t="n">
        <v>2021</v>
      </c>
      <c r="K358" s="4" t="s">
        <v>2814</v>
      </c>
      <c r="L358" s="4" t="s">
        <v>2815</v>
      </c>
      <c r="M358" s="4" t="s">
        <v>2816</v>
      </c>
      <c r="N358" s="4" t="s">
        <v>2817</v>
      </c>
      <c r="O358" s="4" t="s">
        <v>2818</v>
      </c>
      <c r="P358" s="4" t="s">
        <v>52</v>
      </c>
    </row>
    <row r="359" customFormat="false" ht="15" hidden="false" customHeight="false" outlineLevel="0" collapsed="false">
      <c r="A359" s="4" t="s">
        <v>2819</v>
      </c>
      <c r="B359" s="4" t="s">
        <v>2820</v>
      </c>
      <c r="C359" s="4" t="s">
        <v>2189</v>
      </c>
      <c r="D359" s="4" t="s">
        <v>44</v>
      </c>
      <c r="E359" s="9" t="n">
        <v>37579</v>
      </c>
      <c r="F359" s="4" t="s">
        <v>56</v>
      </c>
      <c r="G359" s="4" t="s">
        <v>18</v>
      </c>
      <c r="H359" s="4" t="s">
        <v>67</v>
      </c>
      <c r="I359" s="7" t="n">
        <v>2016</v>
      </c>
      <c r="J359" s="7" t="n">
        <v>2021</v>
      </c>
      <c r="K359" s="4" t="s">
        <v>2821</v>
      </c>
      <c r="L359" s="4" t="s">
        <v>2822</v>
      </c>
      <c r="M359" s="4" t="s">
        <v>2294</v>
      </c>
      <c r="N359" s="4" t="s">
        <v>2823</v>
      </c>
      <c r="O359" s="4" t="s">
        <v>2824</v>
      </c>
      <c r="P359" s="4" t="s">
        <v>52</v>
      </c>
    </row>
    <row r="360" customFormat="false" ht="15" hidden="false" customHeight="false" outlineLevel="0" collapsed="false">
      <c r="A360" s="4" t="s">
        <v>2825</v>
      </c>
      <c r="B360" s="4" t="s">
        <v>2826</v>
      </c>
      <c r="C360" s="4" t="s">
        <v>2827</v>
      </c>
      <c r="D360" s="4" t="s">
        <v>66</v>
      </c>
      <c r="E360" s="9" t="n">
        <v>38727</v>
      </c>
      <c r="F360" s="4" t="s">
        <v>77</v>
      </c>
      <c r="G360" s="4" t="s">
        <v>15</v>
      </c>
      <c r="H360" s="4" t="s">
        <v>67</v>
      </c>
      <c r="I360" s="7" t="n">
        <v>2020</v>
      </c>
      <c r="J360" s="7" t="n">
        <v>2025</v>
      </c>
      <c r="K360" s="4" t="s">
        <v>2828</v>
      </c>
      <c r="L360" s="4" t="s">
        <v>2829</v>
      </c>
      <c r="M360" s="4" t="s">
        <v>2830</v>
      </c>
      <c r="N360" s="4" t="s">
        <v>2831</v>
      </c>
      <c r="O360" s="4" t="s">
        <v>2832</v>
      </c>
      <c r="P360" s="4" t="s">
        <v>73</v>
      </c>
    </row>
    <row r="361" customFormat="false" ht="15" hidden="false" customHeight="false" outlineLevel="0" collapsed="false">
      <c r="A361" s="4" t="s">
        <v>2833</v>
      </c>
      <c r="B361" s="4" t="s">
        <v>2834</v>
      </c>
      <c r="C361" s="4" t="s">
        <v>2835</v>
      </c>
      <c r="D361" s="4" t="s">
        <v>44</v>
      </c>
      <c r="E361" s="9" t="n">
        <v>38420</v>
      </c>
      <c r="F361" s="4" t="s">
        <v>56</v>
      </c>
      <c r="G361" s="4" t="s">
        <v>18</v>
      </c>
      <c r="H361" s="4" t="s">
        <v>78</v>
      </c>
      <c r="I361" s="7" t="n">
        <v>2019</v>
      </c>
      <c r="J361" s="7" t="n">
        <v>2024</v>
      </c>
      <c r="K361" s="4" t="s">
        <v>2836</v>
      </c>
      <c r="L361" s="4" t="s">
        <v>2837</v>
      </c>
      <c r="M361" s="4" t="s">
        <v>2838</v>
      </c>
      <c r="N361" s="4" t="s">
        <v>2839</v>
      </c>
      <c r="O361" s="4" t="s">
        <v>2840</v>
      </c>
      <c r="P361" s="4" t="s">
        <v>52</v>
      </c>
    </row>
    <row r="362" customFormat="false" ht="15" hidden="false" customHeight="false" outlineLevel="0" collapsed="false">
      <c r="A362" s="4" t="s">
        <v>2841</v>
      </c>
      <c r="B362" s="4" t="s">
        <v>2842</v>
      </c>
      <c r="C362" s="4" t="s">
        <v>2163</v>
      </c>
      <c r="D362" s="4" t="s">
        <v>66</v>
      </c>
      <c r="E362" s="9" t="n">
        <v>38500</v>
      </c>
      <c r="F362" s="4" t="s">
        <v>45</v>
      </c>
      <c r="G362" s="4" t="s">
        <v>17</v>
      </c>
      <c r="H362" s="4" t="s">
        <v>57</v>
      </c>
      <c r="I362" s="7" t="n">
        <v>2018</v>
      </c>
      <c r="J362" s="7" t="n">
        <v>2023</v>
      </c>
      <c r="K362" s="4" t="s">
        <v>2843</v>
      </c>
      <c r="L362" s="4" t="s">
        <v>2844</v>
      </c>
      <c r="M362" s="4" t="s">
        <v>2845</v>
      </c>
      <c r="N362" s="4" t="s">
        <v>2846</v>
      </c>
      <c r="O362" s="4" t="s">
        <v>2847</v>
      </c>
      <c r="P362" s="4" t="s">
        <v>52</v>
      </c>
    </row>
    <row r="363" customFormat="false" ht="15" hidden="false" customHeight="false" outlineLevel="0" collapsed="false">
      <c r="A363" s="4" t="s">
        <v>2848</v>
      </c>
      <c r="B363" s="4" t="s">
        <v>2849</v>
      </c>
      <c r="C363" s="4" t="s">
        <v>2850</v>
      </c>
      <c r="D363" s="4" t="s">
        <v>66</v>
      </c>
      <c r="E363" s="9" t="n">
        <v>37811</v>
      </c>
      <c r="F363" s="4" t="s">
        <v>45</v>
      </c>
      <c r="G363" s="4" t="s">
        <v>14</v>
      </c>
      <c r="H363" s="4" t="s">
        <v>67</v>
      </c>
      <c r="I363" s="7" t="n">
        <v>2016</v>
      </c>
      <c r="J363" s="7" t="n">
        <v>2021</v>
      </c>
      <c r="K363" s="4" t="s">
        <v>2851</v>
      </c>
      <c r="L363" s="4" t="s">
        <v>2852</v>
      </c>
      <c r="M363" s="4" t="s">
        <v>2853</v>
      </c>
      <c r="N363" s="4" t="s">
        <v>2854</v>
      </c>
      <c r="O363" s="4" t="s">
        <v>2855</v>
      </c>
      <c r="P363" s="4" t="s">
        <v>52</v>
      </c>
    </row>
    <row r="364" customFormat="false" ht="15" hidden="false" customHeight="false" outlineLevel="0" collapsed="false">
      <c r="A364" s="4" t="s">
        <v>2856</v>
      </c>
      <c r="B364" s="4" t="s">
        <v>2857</v>
      </c>
      <c r="C364" s="4" t="s">
        <v>2858</v>
      </c>
      <c r="D364" s="4" t="s">
        <v>66</v>
      </c>
      <c r="E364" s="9" t="n">
        <v>38930</v>
      </c>
      <c r="F364" s="4" t="s">
        <v>56</v>
      </c>
      <c r="G364" s="4" t="s">
        <v>16</v>
      </c>
      <c r="H364" s="4" t="s">
        <v>57</v>
      </c>
      <c r="I364" s="7" t="n">
        <v>2019</v>
      </c>
      <c r="J364" s="7" t="n">
        <v>2024</v>
      </c>
      <c r="K364" s="4" t="s">
        <v>2859</v>
      </c>
      <c r="L364" s="4" t="s">
        <v>2860</v>
      </c>
      <c r="M364" s="4" t="s">
        <v>2861</v>
      </c>
      <c r="N364" s="4" t="s">
        <v>2862</v>
      </c>
      <c r="O364" s="4" t="s">
        <v>2863</v>
      </c>
      <c r="P364" s="4" t="s">
        <v>52</v>
      </c>
    </row>
    <row r="365" customFormat="false" ht="15" hidden="false" customHeight="false" outlineLevel="0" collapsed="false">
      <c r="A365" s="4" t="s">
        <v>2864</v>
      </c>
      <c r="B365" s="4" t="s">
        <v>2865</v>
      </c>
      <c r="C365" s="4" t="s">
        <v>2866</v>
      </c>
      <c r="D365" s="4" t="s">
        <v>44</v>
      </c>
      <c r="E365" s="9" t="n">
        <v>38876</v>
      </c>
      <c r="F365" s="4" t="s">
        <v>45</v>
      </c>
      <c r="G365" s="4" t="s">
        <v>17</v>
      </c>
      <c r="H365" s="4" t="s">
        <v>78</v>
      </c>
      <c r="I365" s="7" t="n">
        <v>2020</v>
      </c>
      <c r="J365" s="7" t="n">
        <v>2025</v>
      </c>
      <c r="K365" s="4" t="s">
        <v>2867</v>
      </c>
      <c r="L365" s="4" t="s">
        <v>2868</v>
      </c>
      <c r="M365" s="4" t="s">
        <v>2869</v>
      </c>
      <c r="N365" s="4" t="s">
        <v>2870</v>
      </c>
      <c r="O365" s="4" t="s">
        <v>2871</v>
      </c>
      <c r="P365" s="4" t="s">
        <v>52</v>
      </c>
    </row>
    <row r="366" customFormat="false" ht="15" hidden="false" customHeight="false" outlineLevel="0" collapsed="false">
      <c r="A366" s="4" t="s">
        <v>2872</v>
      </c>
      <c r="B366" s="4" t="s">
        <v>2873</v>
      </c>
      <c r="C366" s="4" t="s">
        <v>2874</v>
      </c>
      <c r="D366" s="4" t="s">
        <v>66</v>
      </c>
      <c r="E366" s="9" t="n">
        <v>39085</v>
      </c>
      <c r="F366" s="4" t="s">
        <v>77</v>
      </c>
      <c r="G366" s="4" t="s">
        <v>17</v>
      </c>
      <c r="H366" s="4" t="s">
        <v>67</v>
      </c>
      <c r="I366" s="7" t="n">
        <v>2019</v>
      </c>
      <c r="J366" s="7" t="n">
        <v>2025</v>
      </c>
      <c r="K366" s="4" t="s">
        <v>2875</v>
      </c>
      <c r="L366" s="4" t="s">
        <v>2876</v>
      </c>
      <c r="M366" s="4" t="s">
        <v>2877</v>
      </c>
      <c r="N366" s="4" t="s">
        <v>2878</v>
      </c>
      <c r="O366" s="4" t="s">
        <v>2879</v>
      </c>
      <c r="P366" s="4" t="s">
        <v>73</v>
      </c>
    </row>
    <row r="367" customFormat="false" ht="15" hidden="false" customHeight="false" outlineLevel="0" collapsed="false">
      <c r="A367" s="4" t="s">
        <v>2880</v>
      </c>
      <c r="B367" s="4" t="s">
        <v>2881</v>
      </c>
      <c r="C367" s="4" t="s">
        <v>2882</v>
      </c>
      <c r="D367" s="4" t="s">
        <v>44</v>
      </c>
      <c r="E367" s="9" t="n">
        <v>39295</v>
      </c>
      <c r="F367" s="4" t="s">
        <v>56</v>
      </c>
      <c r="G367" s="4" t="s">
        <v>17</v>
      </c>
      <c r="H367" s="4" t="s">
        <v>67</v>
      </c>
      <c r="I367" s="7" t="n">
        <v>2020</v>
      </c>
      <c r="J367" s="7" t="n">
        <v>2025</v>
      </c>
      <c r="K367" s="4" t="s">
        <v>2883</v>
      </c>
      <c r="L367" s="4" t="s">
        <v>2884</v>
      </c>
      <c r="M367" s="4" t="s">
        <v>2885</v>
      </c>
      <c r="N367" s="4" t="s">
        <v>2886</v>
      </c>
      <c r="O367" s="4" t="s">
        <v>2887</v>
      </c>
      <c r="P367" s="4" t="s">
        <v>73</v>
      </c>
    </row>
    <row r="368" customFormat="false" ht="15" hidden="false" customHeight="false" outlineLevel="0" collapsed="false">
      <c r="A368" s="4" t="s">
        <v>2888</v>
      </c>
      <c r="B368" s="4" t="s">
        <v>2889</v>
      </c>
      <c r="C368" s="4" t="s">
        <v>702</v>
      </c>
      <c r="D368" s="4" t="s">
        <v>66</v>
      </c>
      <c r="E368" s="9" t="n">
        <v>38582</v>
      </c>
      <c r="F368" s="4" t="s">
        <v>77</v>
      </c>
      <c r="G368" s="4" t="s">
        <v>15</v>
      </c>
      <c r="H368" s="4" t="s">
        <v>78</v>
      </c>
      <c r="I368" s="7" t="n">
        <v>2019</v>
      </c>
      <c r="J368" s="7" t="n">
        <v>2024</v>
      </c>
      <c r="K368" s="4" t="s">
        <v>2890</v>
      </c>
      <c r="L368" s="4" t="s">
        <v>2891</v>
      </c>
      <c r="M368" s="4" t="s">
        <v>2892</v>
      </c>
      <c r="N368" s="4" t="s">
        <v>2893</v>
      </c>
      <c r="O368" s="4" t="s">
        <v>2894</v>
      </c>
      <c r="P368" s="4" t="s">
        <v>52</v>
      </c>
    </row>
    <row r="369" customFormat="false" ht="15" hidden="false" customHeight="false" outlineLevel="0" collapsed="false">
      <c r="A369" s="4" t="s">
        <v>2895</v>
      </c>
      <c r="B369" s="4" t="s">
        <v>2896</v>
      </c>
      <c r="C369" s="4" t="s">
        <v>2897</v>
      </c>
      <c r="D369" s="4" t="s">
        <v>44</v>
      </c>
      <c r="E369" s="9" t="n">
        <v>38855</v>
      </c>
      <c r="F369" s="4" t="s">
        <v>77</v>
      </c>
      <c r="G369" s="4" t="s">
        <v>16</v>
      </c>
      <c r="H369" s="4" t="s">
        <v>67</v>
      </c>
      <c r="I369" s="7" t="n">
        <v>2019</v>
      </c>
      <c r="J369" s="7" t="n">
        <v>2025</v>
      </c>
      <c r="K369" s="4" t="s">
        <v>2898</v>
      </c>
      <c r="L369" s="4" t="s">
        <v>2899</v>
      </c>
      <c r="M369" s="4" t="s">
        <v>2900</v>
      </c>
      <c r="N369" s="4" t="s">
        <v>2901</v>
      </c>
      <c r="O369" s="4" t="s">
        <v>2902</v>
      </c>
      <c r="P369" s="4" t="s">
        <v>73</v>
      </c>
    </row>
    <row r="370" customFormat="false" ht="15" hidden="false" customHeight="false" outlineLevel="0" collapsed="false">
      <c r="A370" s="4" t="s">
        <v>2903</v>
      </c>
      <c r="B370" s="4" t="s">
        <v>2904</v>
      </c>
      <c r="C370" s="4" t="s">
        <v>357</v>
      </c>
      <c r="D370" s="4" t="s">
        <v>66</v>
      </c>
      <c r="E370" s="9" t="n">
        <v>38037</v>
      </c>
      <c r="F370" s="4" t="s">
        <v>45</v>
      </c>
      <c r="G370" s="4" t="s">
        <v>15</v>
      </c>
      <c r="H370" s="4" t="s">
        <v>57</v>
      </c>
      <c r="I370" s="7" t="n">
        <v>2017</v>
      </c>
      <c r="J370" s="7" t="n">
        <v>2022</v>
      </c>
      <c r="K370" s="4" t="s">
        <v>2905</v>
      </c>
      <c r="L370" s="4" t="s">
        <v>2906</v>
      </c>
      <c r="M370" s="4" t="s">
        <v>2907</v>
      </c>
      <c r="N370" s="4" t="s">
        <v>2908</v>
      </c>
      <c r="O370" s="4" t="s">
        <v>2909</v>
      </c>
      <c r="P370" s="4" t="s">
        <v>52</v>
      </c>
    </row>
    <row r="371" customFormat="false" ht="15" hidden="false" customHeight="false" outlineLevel="0" collapsed="false">
      <c r="A371" s="4" t="s">
        <v>2910</v>
      </c>
      <c r="B371" s="4" t="s">
        <v>2911</v>
      </c>
      <c r="C371" s="4" t="s">
        <v>2912</v>
      </c>
      <c r="D371" s="4" t="s">
        <v>66</v>
      </c>
      <c r="E371" s="9" t="n">
        <v>39079</v>
      </c>
      <c r="F371" s="4" t="s">
        <v>56</v>
      </c>
      <c r="G371" s="4" t="s">
        <v>15</v>
      </c>
      <c r="H371" s="4" t="s">
        <v>78</v>
      </c>
      <c r="I371" s="7" t="n">
        <v>2019</v>
      </c>
      <c r="J371" s="7" t="n">
        <v>2024</v>
      </c>
      <c r="K371" s="4" t="s">
        <v>2913</v>
      </c>
      <c r="L371" s="4" t="s">
        <v>2914</v>
      </c>
      <c r="M371" s="4" t="s">
        <v>2915</v>
      </c>
      <c r="N371" s="4" t="s">
        <v>2916</v>
      </c>
      <c r="O371" s="4" t="s">
        <v>2917</v>
      </c>
      <c r="P371" s="4" t="s">
        <v>52</v>
      </c>
    </row>
    <row r="372" customFormat="false" ht="15" hidden="false" customHeight="false" outlineLevel="0" collapsed="false">
      <c r="A372" s="4" t="s">
        <v>2918</v>
      </c>
      <c r="B372" s="4" t="s">
        <v>2919</v>
      </c>
      <c r="C372" s="4" t="s">
        <v>2318</v>
      </c>
      <c r="D372" s="4" t="s">
        <v>66</v>
      </c>
      <c r="E372" s="9" t="n">
        <v>37550</v>
      </c>
      <c r="F372" s="4" t="s">
        <v>56</v>
      </c>
      <c r="G372" s="4" t="s">
        <v>14</v>
      </c>
      <c r="H372" s="4" t="s">
        <v>57</v>
      </c>
      <c r="I372" s="7" t="n">
        <v>2015</v>
      </c>
      <c r="J372" s="7" t="n">
        <v>2021</v>
      </c>
      <c r="K372" s="4" t="s">
        <v>2920</v>
      </c>
      <c r="L372" s="4" t="s">
        <v>2921</v>
      </c>
      <c r="M372" s="4" t="s">
        <v>2922</v>
      </c>
      <c r="N372" s="4" t="s">
        <v>2923</v>
      </c>
      <c r="O372" s="4" t="s">
        <v>2924</v>
      </c>
      <c r="P372" s="4" t="s">
        <v>52</v>
      </c>
    </row>
    <row r="373" customFormat="false" ht="15" hidden="false" customHeight="false" outlineLevel="0" collapsed="false">
      <c r="A373" s="4" t="s">
        <v>2925</v>
      </c>
      <c r="B373" s="4" t="s">
        <v>1031</v>
      </c>
      <c r="C373" s="4" t="s">
        <v>2926</v>
      </c>
      <c r="D373" s="4" t="s">
        <v>66</v>
      </c>
      <c r="E373" s="9" t="n">
        <v>39061</v>
      </c>
      <c r="F373" s="4" t="s">
        <v>56</v>
      </c>
      <c r="G373" s="4" t="s">
        <v>15</v>
      </c>
      <c r="H373" s="4" t="s">
        <v>78</v>
      </c>
      <c r="I373" s="7" t="n">
        <v>2019</v>
      </c>
      <c r="J373" s="7" t="n">
        <v>2024</v>
      </c>
      <c r="K373" s="4" t="s">
        <v>2927</v>
      </c>
      <c r="L373" s="4" t="s">
        <v>2928</v>
      </c>
      <c r="M373" s="4" t="s">
        <v>2929</v>
      </c>
      <c r="N373" s="4" t="s">
        <v>2930</v>
      </c>
      <c r="O373" s="4" t="s">
        <v>2931</v>
      </c>
      <c r="P373" s="4" t="s">
        <v>52</v>
      </c>
    </row>
    <row r="374" customFormat="false" ht="15" hidden="false" customHeight="false" outlineLevel="0" collapsed="false">
      <c r="A374" s="4" t="s">
        <v>2932</v>
      </c>
      <c r="B374" s="4" t="s">
        <v>2933</v>
      </c>
      <c r="C374" s="4" t="s">
        <v>2934</v>
      </c>
      <c r="D374" s="4" t="s">
        <v>44</v>
      </c>
      <c r="E374" s="9" t="n">
        <v>38022</v>
      </c>
      <c r="F374" s="4" t="s">
        <v>77</v>
      </c>
      <c r="G374" s="4" t="s">
        <v>14</v>
      </c>
      <c r="H374" s="4" t="s">
        <v>78</v>
      </c>
      <c r="I374" s="7" t="n">
        <v>2017</v>
      </c>
      <c r="J374" s="7" t="n">
        <v>2022</v>
      </c>
      <c r="K374" s="4" t="s">
        <v>2935</v>
      </c>
      <c r="L374" s="4" t="s">
        <v>2936</v>
      </c>
      <c r="M374" s="4" t="s">
        <v>232</v>
      </c>
      <c r="N374" s="4" t="s">
        <v>2937</v>
      </c>
      <c r="O374" s="4" t="s">
        <v>2938</v>
      </c>
      <c r="P374" s="4" t="s">
        <v>52</v>
      </c>
    </row>
    <row r="375" customFormat="false" ht="15" hidden="false" customHeight="false" outlineLevel="0" collapsed="false">
      <c r="A375" s="4" t="s">
        <v>2939</v>
      </c>
      <c r="B375" s="4" t="s">
        <v>2940</v>
      </c>
      <c r="C375" s="4" t="s">
        <v>2941</v>
      </c>
      <c r="D375" s="4" t="s">
        <v>44</v>
      </c>
      <c r="E375" s="9" t="n">
        <v>37351</v>
      </c>
      <c r="F375" s="4" t="s">
        <v>142</v>
      </c>
      <c r="G375" s="4" t="s">
        <v>17</v>
      </c>
      <c r="H375" s="4" t="s">
        <v>67</v>
      </c>
      <c r="I375" s="7" t="n">
        <v>2015</v>
      </c>
      <c r="J375" s="7" t="n">
        <v>2021</v>
      </c>
      <c r="K375" s="4" t="s">
        <v>2942</v>
      </c>
      <c r="L375" s="4" t="s">
        <v>2943</v>
      </c>
      <c r="M375" s="4" t="s">
        <v>1588</v>
      </c>
      <c r="N375" s="4" t="s">
        <v>2944</v>
      </c>
      <c r="O375" s="4" t="s">
        <v>2945</v>
      </c>
      <c r="P375" s="4" t="s">
        <v>52</v>
      </c>
    </row>
    <row r="376" customFormat="false" ht="15" hidden="false" customHeight="false" outlineLevel="0" collapsed="false">
      <c r="A376" s="4" t="s">
        <v>2946</v>
      </c>
      <c r="B376" s="4" t="s">
        <v>2947</v>
      </c>
      <c r="C376" s="4" t="s">
        <v>2948</v>
      </c>
      <c r="D376" s="4" t="s">
        <v>44</v>
      </c>
      <c r="E376" s="9" t="n">
        <v>38108</v>
      </c>
      <c r="F376" s="4" t="s">
        <v>45</v>
      </c>
      <c r="G376" s="4" t="s">
        <v>18</v>
      </c>
      <c r="H376" s="4" t="s">
        <v>67</v>
      </c>
      <c r="I376" s="7" t="n">
        <v>2018</v>
      </c>
      <c r="J376" s="7" t="n">
        <v>2023</v>
      </c>
      <c r="K376" s="4" t="s">
        <v>2949</v>
      </c>
      <c r="L376" s="4" t="s">
        <v>2950</v>
      </c>
      <c r="M376" s="4" t="s">
        <v>1890</v>
      </c>
      <c r="N376" s="4" t="s">
        <v>2951</v>
      </c>
      <c r="O376" s="4" t="s">
        <v>2952</v>
      </c>
      <c r="P376" s="4" t="s">
        <v>52</v>
      </c>
    </row>
    <row r="377" customFormat="false" ht="15" hidden="false" customHeight="false" outlineLevel="0" collapsed="false">
      <c r="A377" s="4" t="s">
        <v>2953</v>
      </c>
      <c r="B377" s="4" t="s">
        <v>2954</v>
      </c>
      <c r="C377" s="4" t="s">
        <v>2158</v>
      </c>
      <c r="D377" s="4" t="s">
        <v>44</v>
      </c>
      <c r="E377" s="9" t="n">
        <v>38583</v>
      </c>
      <c r="F377" s="4" t="s">
        <v>56</v>
      </c>
      <c r="G377" s="4" t="s">
        <v>15</v>
      </c>
      <c r="H377" s="4" t="s">
        <v>46</v>
      </c>
      <c r="I377" s="7" t="n">
        <v>2018</v>
      </c>
      <c r="J377" s="7" t="n">
        <v>2023</v>
      </c>
      <c r="K377" s="4" t="s">
        <v>2955</v>
      </c>
      <c r="L377" s="4" t="s">
        <v>2956</v>
      </c>
      <c r="M377" s="4" t="s">
        <v>1331</v>
      </c>
      <c r="N377" s="4" t="s">
        <v>2957</v>
      </c>
      <c r="O377" s="4" t="s">
        <v>2958</v>
      </c>
      <c r="P377" s="4" t="s">
        <v>52</v>
      </c>
    </row>
    <row r="378" customFormat="false" ht="15" hidden="false" customHeight="false" outlineLevel="0" collapsed="false">
      <c r="A378" s="4" t="s">
        <v>2959</v>
      </c>
      <c r="B378" s="4" t="s">
        <v>2960</v>
      </c>
      <c r="C378" s="4" t="s">
        <v>2961</v>
      </c>
      <c r="D378" s="4" t="s">
        <v>44</v>
      </c>
      <c r="E378" s="9" t="n">
        <v>37681</v>
      </c>
      <c r="F378" s="4" t="s">
        <v>142</v>
      </c>
      <c r="G378" s="4" t="s">
        <v>16</v>
      </c>
      <c r="H378" s="4" t="s">
        <v>46</v>
      </c>
      <c r="I378" s="7" t="n">
        <v>2017</v>
      </c>
      <c r="J378" s="7" t="n">
        <v>2022</v>
      </c>
      <c r="K378" s="4" t="s">
        <v>2962</v>
      </c>
      <c r="L378" s="4" t="s">
        <v>2963</v>
      </c>
      <c r="M378" s="4" t="s">
        <v>2964</v>
      </c>
      <c r="N378" s="4" t="s">
        <v>2965</v>
      </c>
      <c r="O378" s="4" t="s">
        <v>2966</v>
      </c>
      <c r="P378" s="4" t="s">
        <v>52</v>
      </c>
    </row>
    <row r="379" customFormat="false" ht="15" hidden="false" customHeight="false" outlineLevel="0" collapsed="false">
      <c r="A379" s="4" t="s">
        <v>2967</v>
      </c>
      <c r="B379" s="4" t="s">
        <v>2968</v>
      </c>
      <c r="C379" s="4" t="s">
        <v>2969</v>
      </c>
      <c r="D379" s="4" t="s">
        <v>66</v>
      </c>
      <c r="E379" s="9" t="n">
        <v>37615</v>
      </c>
      <c r="F379" s="4" t="s">
        <v>142</v>
      </c>
      <c r="G379" s="4" t="s">
        <v>17</v>
      </c>
      <c r="H379" s="4" t="s">
        <v>57</v>
      </c>
      <c r="I379" s="7" t="n">
        <v>2016</v>
      </c>
      <c r="J379" s="7" t="n">
        <v>2021</v>
      </c>
      <c r="K379" s="4" t="s">
        <v>2970</v>
      </c>
      <c r="L379" s="4" t="s">
        <v>2971</v>
      </c>
      <c r="M379" s="4" t="s">
        <v>2972</v>
      </c>
      <c r="N379" s="4" t="s">
        <v>2973</v>
      </c>
      <c r="O379" s="4" t="s">
        <v>2974</v>
      </c>
      <c r="P379" s="4" t="s">
        <v>52</v>
      </c>
    </row>
    <row r="380" customFormat="false" ht="15" hidden="false" customHeight="false" outlineLevel="0" collapsed="false">
      <c r="A380" s="4" t="s">
        <v>2975</v>
      </c>
      <c r="B380" s="4" t="s">
        <v>2976</v>
      </c>
      <c r="C380" s="4" t="s">
        <v>2977</v>
      </c>
      <c r="D380" s="4" t="s">
        <v>66</v>
      </c>
      <c r="E380" s="9" t="n">
        <v>38967</v>
      </c>
      <c r="F380" s="4" t="s">
        <v>142</v>
      </c>
      <c r="G380" s="4" t="s">
        <v>14</v>
      </c>
      <c r="H380" s="4" t="s">
        <v>57</v>
      </c>
      <c r="I380" s="7" t="n">
        <v>2018</v>
      </c>
      <c r="J380" s="7" t="n">
        <v>2024</v>
      </c>
      <c r="K380" s="4" t="s">
        <v>2978</v>
      </c>
      <c r="L380" s="4" t="s">
        <v>2979</v>
      </c>
      <c r="M380" s="4" t="s">
        <v>2980</v>
      </c>
      <c r="N380" s="4" t="s">
        <v>2981</v>
      </c>
      <c r="O380" s="4" t="s">
        <v>2982</v>
      </c>
      <c r="P380" s="4" t="s">
        <v>52</v>
      </c>
    </row>
    <row r="381" customFormat="false" ht="15" hidden="false" customHeight="false" outlineLevel="0" collapsed="false">
      <c r="A381" s="4" t="s">
        <v>2983</v>
      </c>
      <c r="B381" s="4" t="s">
        <v>2984</v>
      </c>
      <c r="C381" s="4" t="s">
        <v>2985</v>
      </c>
      <c r="D381" s="4" t="s">
        <v>66</v>
      </c>
      <c r="E381" s="9" t="n">
        <v>38899</v>
      </c>
      <c r="F381" s="4" t="s">
        <v>45</v>
      </c>
      <c r="G381" s="4" t="s">
        <v>16</v>
      </c>
      <c r="H381" s="4" t="s">
        <v>78</v>
      </c>
      <c r="I381" s="7" t="n">
        <v>2019</v>
      </c>
      <c r="J381" s="7" t="n">
        <v>2025</v>
      </c>
      <c r="K381" s="4" t="s">
        <v>2986</v>
      </c>
      <c r="L381" s="4" t="s">
        <v>2987</v>
      </c>
      <c r="M381" s="4" t="s">
        <v>2988</v>
      </c>
      <c r="N381" s="4" t="s">
        <v>2989</v>
      </c>
      <c r="O381" s="4" t="s">
        <v>2990</v>
      </c>
      <c r="P381" s="4" t="s">
        <v>73</v>
      </c>
    </row>
    <row r="382" customFormat="false" ht="15" hidden="false" customHeight="false" outlineLevel="0" collapsed="false">
      <c r="A382" s="4" t="s">
        <v>2991</v>
      </c>
      <c r="B382" s="4" t="s">
        <v>2992</v>
      </c>
      <c r="C382" s="4" t="s">
        <v>2993</v>
      </c>
      <c r="D382" s="4" t="s">
        <v>66</v>
      </c>
      <c r="E382" s="9" t="n">
        <v>38517</v>
      </c>
      <c r="F382" s="4" t="s">
        <v>77</v>
      </c>
      <c r="G382" s="4" t="s">
        <v>17</v>
      </c>
      <c r="H382" s="4" t="s">
        <v>57</v>
      </c>
      <c r="I382" s="7" t="n">
        <v>2019</v>
      </c>
      <c r="J382" s="7" t="n">
        <v>2024</v>
      </c>
      <c r="K382" s="4" t="s">
        <v>2994</v>
      </c>
      <c r="L382" s="4" t="s">
        <v>2995</v>
      </c>
      <c r="M382" s="4" t="s">
        <v>2996</v>
      </c>
      <c r="N382" s="4" t="s">
        <v>2997</v>
      </c>
      <c r="O382" s="4" t="s">
        <v>2998</v>
      </c>
      <c r="P382" s="4" t="s">
        <v>52</v>
      </c>
    </row>
    <row r="383" customFormat="false" ht="15" hidden="false" customHeight="false" outlineLevel="0" collapsed="false">
      <c r="A383" s="4" t="s">
        <v>2999</v>
      </c>
      <c r="B383" s="4" t="s">
        <v>3000</v>
      </c>
      <c r="C383" s="4" t="s">
        <v>2036</v>
      </c>
      <c r="D383" s="4" t="s">
        <v>66</v>
      </c>
      <c r="E383" s="9" t="n">
        <v>38030</v>
      </c>
      <c r="F383" s="4" t="s">
        <v>45</v>
      </c>
      <c r="G383" s="4" t="s">
        <v>15</v>
      </c>
      <c r="H383" s="4" t="s">
        <v>78</v>
      </c>
      <c r="I383" s="7" t="n">
        <v>2016</v>
      </c>
      <c r="J383" s="7" t="n">
        <v>2022</v>
      </c>
      <c r="K383" s="4" t="s">
        <v>3001</v>
      </c>
      <c r="L383" s="4" t="s">
        <v>3002</v>
      </c>
      <c r="M383" s="4" t="s">
        <v>3003</v>
      </c>
      <c r="N383" s="4" t="s">
        <v>3004</v>
      </c>
      <c r="O383" s="4" t="s">
        <v>3005</v>
      </c>
      <c r="P383" s="4" t="s">
        <v>52</v>
      </c>
    </row>
    <row r="384" customFormat="false" ht="15" hidden="false" customHeight="false" outlineLevel="0" collapsed="false">
      <c r="A384" s="4" t="s">
        <v>3006</v>
      </c>
      <c r="B384" s="4" t="s">
        <v>3007</v>
      </c>
      <c r="C384" s="4" t="s">
        <v>3008</v>
      </c>
      <c r="D384" s="4" t="s">
        <v>66</v>
      </c>
      <c r="E384" s="9" t="n">
        <v>39078</v>
      </c>
      <c r="F384" s="4" t="s">
        <v>56</v>
      </c>
      <c r="G384" s="4" t="s">
        <v>16</v>
      </c>
      <c r="H384" s="4" t="s">
        <v>78</v>
      </c>
      <c r="I384" s="7" t="n">
        <v>2019</v>
      </c>
      <c r="J384" s="7" t="n">
        <v>2024</v>
      </c>
      <c r="K384" s="4" t="s">
        <v>3009</v>
      </c>
      <c r="L384" s="4" t="s">
        <v>3010</v>
      </c>
      <c r="M384" s="4" t="s">
        <v>3011</v>
      </c>
      <c r="N384" s="4" t="s">
        <v>3012</v>
      </c>
      <c r="O384" s="4" t="s">
        <v>3013</v>
      </c>
      <c r="P384" s="4" t="s">
        <v>52</v>
      </c>
    </row>
    <row r="385" customFormat="false" ht="15" hidden="false" customHeight="false" outlineLevel="0" collapsed="false">
      <c r="A385" s="4" t="s">
        <v>3014</v>
      </c>
      <c r="B385" s="4" t="s">
        <v>3015</v>
      </c>
      <c r="C385" s="4" t="s">
        <v>3016</v>
      </c>
      <c r="D385" s="4" t="s">
        <v>66</v>
      </c>
      <c r="E385" s="9" t="n">
        <v>38464</v>
      </c>
      <c r="F385" s="4" t="s">
        <v>56</v>
      </c>
      <c r="G385" s="4" t="s">
        <v>15</v>
      </c>
      <c r="H385" s="4" t="s">
        <v>57</v>
      </c>
      <c r="I385" s="7" t="n">
        <v>2018</v>
      </c>
      <c r="J385" s="7" t="n">
        <v>2023</v>
      </c>
      <c r="K385" s="4" t="s">
        <v>3017</v>
      </c>
      <c r="L385" s="4" t="s">
        <v>3018</v>
      </c>
      <c r="M385" s="4" t="s">
        <v>3016</v>
      </c>
      <c r="N385" s="4" t="s">
        <v>3019</v>
      </c>
      <c r="O385" s="4" t="s">
        <v>3020</v>
      </c>
      <c r="P385" s="4" t="s">
        <v>52</v>
      </c>
    </row>
    <row r="386" customFormat="false" ht="15" hidden="false" customHeight="false" outlineLevel="0" collapsed="false">
      <c r="A386" s="4" t="s">
        <v>3021</v>
      </c>
      <c r="B386" s="4" t="s">
        <v>3022</v>
      </c>
      <c r="C386" s="4" t="s">
        <v>3023</v>
      </c>
      <c r="D386" s="4" t="s">
        <v>66</v>
      </c>
      <c r="E386" s="9" t="n">
        <v>38949</v>
      </c>
      <c r="F386" s="4" t="s">
        <v>142</v>
      </c>
      <c r="G386" s="4" t="s">
        <v>14</v>
      </c>
      <c r="H386" s="4" t="s">
        <v>57</v>
      </c>
      <c r="I386" s="7" t="n">
        <v>2018</v>
      </c>
      <c r="J386" s="7" t="n">
        <v>2024</v>
      </c>
      <c r="K386" s="4" t="s">
        <v>3024</v>
      </c>
      <c r="L386" s="4" t="s">
        <v>3025</v>
      </c>
      <c r="M386" s="4" t="s">
        <v>3026</v>
      </c>
      <c r="N386" s="4" t="s">
        <v>3027</v>
      </c>
      <c r="O386" s="4" t="s">
        <v>3028</v>
      </c>
      <c r="P386" s="4" t="s">
        <v>52</v>
      </c>
    </row>
    <row r="387" customFormat="false" ht="15" hidden="false" customHeight="false" outlineLevel="0" collapsed="false">
      <c r="A387" s="4" t="s">
        <v>3029</v>
      </c>
      <c r="B387" s="4" t="s">
        <v>3030</v>
      </c>
      <c r="C387" s="4" t="s">
        <v>3031</v>
      </c>
      <c r="D387" s="4" t="s">
        <v>44</v>
      </c>
      <c r="E387" s="9" t="n">
        <v>38164</v>
      </c>
      <c r="F387" s="4" t="s">
        <v>45</v>
      </c>
      <c r="G387" s="4" t="s">
        <v>18</v>
      </c>
      <c r="H387" s="4" t="s">
        <v>57</v>
      </c>
      <c r="I387" s="7" t="n">
        <v>2016</v>
      </c>
      <c r="J387" s="7" t="n">
        <v>2022</v>
      </c>
      <c r="K387" s="4" t="s">
        <v>3032</v>
      </c>
      <c r="L387" s="4" t="s">
        <v>3033</v>
      </c>
      <c r="M387" s="4" t="s">
        <v>3034</v>
      </c>
      <c r="N387" s="4" t="s">
        <v>3035</v>
      </c>
      <c r="O387" s="4" t="s">
        <v>3036</v>
      </c>
      <c r="P387" s="4" t="s">
        <v>52</v>
      </c>
    </row>
    <row r="388" customFormat="false" ht="15" hidden="false" customHeight="false" outlineLevel="0" collapsed="false">
      <c r="A388" s="4" t="s">
        <v>3037</v>
      </c>
      <c r="B388" s="4" t="s">
        <v>3038</v>
      </c>
      <c r="C388" s="4" t="s">
        <v>3039</v>
      </c>
      <c r="D388" s="4" t="s">
        <v>44</v>
      </c>
      <c r="E388" s="9" t="n">
        <v>37630</v>
      </c>
      <c r="F388" s="4" t="s">
        <v>77</v>
      </c>
      <c r="G388" s="4" t="s">
        <v>18</v>
      </c>
      <c r="H388" s="4" t="s">
        <v>46</v>
      </c>
      <c r="I388" s="7" t="n">
        <v>2016</v>
      </c>
      <c r="J388" s="7" t="n">
        <v>2022</v>
      </c>
      <c r="K388" s="4" t="s">
        <v>3040</v>
      </c>
      <c r="L388" s="4" t="s">
        <v>3041</v>
      </c>
      <c r="M388" s="4" t="s">
        <v>458</v>
      </c>
      <c r="N388" s="4" t="s">
        <v>3042</v>
      </c>
      <c r="O388" s="4" t="s">
        <v>3043</v>
      </c>
      <c r="P388" s="4" t="s">
        <v>52</v>
      </c>
    </row>
    <row r="389" customFormat="false" ht="15" hidden="false" customHeight="false" outlineLevel="0" collapsed="false">
      <c r="A389" s="4" t="s">
        <v>3044</v>
      </c>
      <c r="B389" s="4" t="s">
        <v>3045</v>
      </c>
      <c r="C389" s="4" t="s">
        <v>3046</v>
      </c>
      <c r="D389" s="4" t="s">
        <v>44</v>
      </c>
      <c r="E389" s="9" t="n">
        <v>39221</v>
      </c>
      <c r="F389" s="4" t="s">
        <v>45</v>
      </c>
      <c r="G389" s="4" t="s">
        <v>14</v>
      </c>
      <c r="H389" s="4" t="s">
        <v>46</v>
      </c>
      <c r="I389" s="7" t="n">
        <v>2019</v>
      </c>
      <c r="J389" s="7" t="n">
        <v>2025</v>
      </c>
      <c r="K389" s="4" t="s">
        <v>3047</v>
      </c>
      <c r="L389" s="4" t="s">
        <v>3048</v>
      </c>
      <c r="M389" s="4" t="s">
        <v>3049</v>
      </c>
      <c r="N389" s="4" t="s">
        <v>3050</v>
      </c>
      <c r="O389" s="4" t="s">
        <v>3051</v>
      </c>
      <c r="P389" s="4" t="s">
        <v>52</v>
      </c>
    </row>
    <row r="390" customFormat="false" ht="15" hidden="false" customHeight="false" outlineLevel="0" collapsed="false">
      <c r="A390" s="4" t="s">
        <v>3052</v>
      </c>
      <c r="B390" s="4" t="s">
        <v>3053</v>
      </c>
      <c r="C390" s="4" t="s">
        <v>3054</v>
      </c>
      <c r="D390" s="4" t="s">
        <v>44</v>
      </c>
      <c r="E390" s="9" t="n">
        <v>38511</v>
      </c>
      <c r="F390" s="4" t="s">
        <v>142</v>
      </c>
      <c r="G390" s="4" t="s">
        <v>17</v>
      </c>
      <c r="H390" s="4" t="s">
        <v>78</v>
      </c>
      <c r="I390" s="7" t="n">
        <v>2019</v>
      </c>
      <c r="J390" s="7" t="n">
        <v>2024</v>
      </c>
      <c r="K390" s="4" t="s">
        <v>3055</v>
      </c>
      <c r="L390" s="4" t="s">
        <v>3056</v>
      </c>
      <c r="M390" s="4" t="s">
        <v>1455</v>
      </c>
      <c r="N390" s="4" t="s">
        <v>3057</v>
      </c>
      <c r="O390" s="4" t="s">
        <v>3058</v>
      </c>
      <c r="P390" s="4" t="s">
        <v>52</v>
      </c>
    </row>
    <row r="391" customFormat="false" ht="15" hidden="false" customHeight="false" outlineLevel="0" collapsed="false">
      <c r="A391" s="4" t="s">
        <v>3059</v>
      </c>
      <c r="B391" s="4" t="s">
        <v>3060</v>
      </c>
      <c r="C391" s="4" t="s">
        <v>3061</v>
      </c>
      <c r="D391" s="4" t="s">
        <v>66</v>
      </c>
      <c r="E391" s="9" t="n">
        <v>38732</v>
      </c>
      <c r="F391" s="4" t="s">
        <v>77</v>
      </c>
      <c r="G391" s="4" t="s">
        <v>17</v>
      </c>
      <c r="H391" s="4" t="s">
        <v>57</v>
      </c>
      <c r="I391" s="7" t="n">
        <v>2020</v>
      </c>
      <c r="J391" s="7" t="n">
        <v>2025</v>
      </c>
      <c r="K391" s="4" t="s">
        <v>3062</v>
      </c>
      <c r="L391" s="4" t="s">
        <v>3063</v>
      </c>
      <c r="M391" s="4" t="s">
        <v>3064</v>
      </c>
      <c r="N391" s="4" t="s">
        <v>3065</v>
      </c>
      <c r="O391" s="4" t="s">
        <v>3066</v>
      </c>
      <c r="P391" s="4" t="s">
        <v>52</v>
      </c>
    </row>
    <row r="392" customFormat="false" ht="15" hidden="false" customHeight="false" outlineLevel="0" collapsed="false">
      <c r="A392" s="4" t="s">
        <v>3067</v>
      </c>
      <c r="B392" s="4" t="s">
        <v>3068</v>
      </c>
      <c r="C392" s="4" t="s">
        <v>3069</v>
      </c>
      <c r="D392" s="4" t="s">
        <v>44</v>
      </c>
      <c r="E392" s="9" t="n">
        <v>38148</v>
      </c>
      <c r="F392" s="4" t="s">
        <v>77</v>
      </c>
      <c r="G392" s="4" t="s">
        <v>14</v>
      </c>
      <c r="H392" s="4" t="s">
        <v>57</v>
      </c>
      <c r="I392" s="7" t="n">
        <v>2017</v>
      </c>
      <c r="J392" s="7" t="n">
        <v>2022</v>
      </c>
      <c r="K392" s="4" t="s">
        <v>3070</v>
      </c>
      <c r="L392" s="4" t="s">
        <v>3071</v>
      </c>
      <c r="M392" s="4" t="s">
        <v>3072</v>
      </c>
      <c r="N392" s="4" t="s">
        <v>3073</v>
      </c>
      <c r="O392" s="4" t="s">
        <v>3074</v>
      </c>
      <c r="P392" s="4" t="s">
        <v>52</v>
      </c>
    </row>
    <row r="393" customFormat="false" ht="15" hidden="false" customHeight="false" outlineLevel="0" collapsed="false">
      <c r="A393" s="4" t="s">
        <v>3075</v>
      </c>
      <c r="B393" s="4" t="s">
        <v>3076</v>
      </c>
      <c r="C393" s="4" t="s">
        <v>3077</v>
      </c>
      <c r="D393" s="4" t="s">
        <v>44</v>
      </c>
      <c r="E393" s="9" t="n">
        <v>38909</v>
      </c>
      <c r="F393" s="4" t="s">
        <v>77</v>
      </c>
      <c r="G393" s="4" t="s">
        <v>14</v>
      </c>
      <c r="H393" s="4" t="s">
        <v>67</v>
      </c>
      <c r="I393" s="7" t="n">
        <v>2020</v>
      </c>
      <c r="J393" s="7" t="n">
        <v>2025</v>
      </c>
      <c r="K393" s="4" t="s">
        <v>3078</v>
      </c>
      <c r="L393" s="4" t="s">
        <v>3079</v>
      </c>
      <c r="M393" s="4" t="s">
        <v>3080</v>
      </c>
      <c r="N393" s="4" t="s">
        <v>3081</v>
      </c>
      <c r="O393" s="4" t="s">
        <v>3082</v>
      </c>
      <c r="P393" s="4" t="s">
        <v>52</v>
      </c>
    </row>
    <row r="394" customFormat="false" ht="15" hidden="false" customHeight="false" outlineLevel="0" collapsed="false">
      <c r="A394" s="4" t="s">
        <v>3083</v>
      </c>
      <c r="B394" s="4" t="s">
        <v>3084</v>
      </c>
      <c r="C394" s="4" t="s">
        <v>1291</v>
      </c>
      <c r="D394" s="4" t="s">
        <v>66</v>
      </c>
      <c r="E394" s="9" t="n">
        <v>38541</v>
      </c>
      <c r="F394" s="4" t="s">
        <v>142</v>
      </c>
      <c r="G394" s="4" t="s">
        <v>14</v>
      </c>
      <c r="H394" s="4" t="s">
        <v>78</v>
      </c>
      <c r="I394" s="7" t="n">
        <v>2018</v>
      </c>
      <c r="J394" s="7" t="n">
        <v>2024</v>
      </c>
      <c r="K394" s="4" t="s">
        <v>3085</v>
      </c>
      <c r="L394" s="4" t="s">
        <v>3086</v>
      </c>
      <c r="M394" s="4" t="s">
        <v>3087</v>
      </c>
      <c r="N394" s="4" t="s">
        <v>3088</v>
      </c>
      <c r="O394" s="4" t="s">
        <v>3089</v>
      </c>
      <c r="P394" s="4" t="s">
        <v>52</v>
      </c>
    </row>
    <row r="395" customFormat="false" ht="15" hidden="false" customHeight="false" outlineLevel="0" collapsed="false">
      <c r="A395" s="4" t="s">
        <v>3090</v>
      </c>
      <c r="B395" s="4" t="s">
        <v>3091</v>
      </c>
      <c r="C395" s="4" t="s">
        <v>3092</v>
      </c>
      <c r="D395" s="4" t="s">
        <v>44</v>
      </c>
      <c r="E395" s="9" t="n">
        <v>37965</v>
      </c>
      <c r="F395" s="4" t="s">
        <v>142</v>
      </c>
      <c r="G395" s="4" t="s">
        <v>16</v>
      </c>
      <c r="H395" s="4" t="s">
        <v>78</v>
      </c>
      <c r="I395" s="7" t="n">
        <v>2017</v>
      </c>
      <c r="J395" s="7" t="n">
        <v>2022</v>
      </c>
      <c r="K395" s="4" t="s">
        <v>3093</v>
      </c>
      <c r="L395" s="4" t="s">
        <v>3094</v>
      </c>
      <c r="M395" s="4" t="s">
        <v>3095</v>
      </c>
      <c r="N395" s="4" t="s">
        <v>3096</v>
      </c>
      <c r="O395" s="4" t="s">
        <v>3097</v>
      </c>
      <c r="P395" s="4" t="s">
        <v>52</v>
      </c>
    </row>
    <row r="396" customFormat="false" ht="15" hidden="false" customHeight="false" outlineLevel="0" collapsed="false">
      <c r="A396" s="4" t="s">
        <v>3098</v>
      </c>
      <c r="B396" s="4" t="s">
        <v>3099</v>
      </c>
      <c r="C396" s="4" t="s">
        <v>3100</v>
      </c>
      <c r="D396" s="4" t="s">
        <v>44</v>
      </c>
      <c r="E396" s="9" t="n">
        <v>39215</v>
      </c>
      <c r="F396" s="4" t="s">
        <v>142</v>
      </c>
      <c r="G396" s="4" t="s">
        <v>17</v>
      </c>
      <c r="H396" s="4" t="s">
        <v>67</v>
      </c>
      <c r="I396" s="7" t="n">
        <v>2019</v>
      </c>
      <c r="J396" s="7" t="n">
        <v>2025</v>
      </c>
      <c r="K396" s="4" t="s">
        <v>3101</v>
      </c>
      <c r="L396" s="4" t="s">
        <v>3102</v>
      </c>
      <c r="M396" s="4" t="s">
        <v>3103</v>
      </c>
      <c r="N396" s="4" t="s">
        <v>3104</v>
      </c>
      <c r="O396" s="4" t="s">
        <v>3105</v>
      </c>
      <c r="P396" s="4" t="s">
        <v>73</v>
      </c>
    </row>
    <row r="397" customFormat="false" ht="15" hidden="false" customHeight="false" outlineLevel="0" collapsed="false">
      <c r="A397" s="4" t="s">
        <v>3106</v>
      </c>
      <c r="B397" s="4" t="s">
        <v>3107</v>
      </c>
      <c r="C397" s="4" t="s">
        <v>3108</v>
      </c>
      <c r="D397" s="4" t="s">
        <v>44</v>
      </c>
      <c r="E397" s="9" t="n">
        <v>38474</v>
      </c>
      <c r="F397" s="4" t="s">
        <v>77</v>
      </c>
      <c r="G397" s="4" t="s">
        <v>16</v>
      </c>
      <c r="H397" s="4" t="s">
        <v>57</v>
      </c>
      <c r="I397" s="7" t="n">
        <v>2018</v>
      </c>
      <c r="J397" s="7" t="n">
        <v>2024</v>
      </c>
      <c r="K397" s="4" t="s">
        <v>3109</v>
      </c>
      <c r="L397" s="4" t="s">
        <v>3110</v>
      </c>
      <c r="M397" s="4" t="s">
        <v>3111</v>
      </c>
      <c r="N397" s="4" t="s">
        <v>3112</v>
      </c>
      <c r="O397" s="4" t="s">
        <v>3113</v>
      </c>
      <c r="P397" s="4" t="s">
        <v>52</v>
      </c>
    </row>
    <row r="398" customFormat="false" ht="15" hidden="false" customHeight="false" outlineLevel="0" collapsed="false">
      <c r="A398" s="4" t="s">
        <v>3114</v>
      </c>
      <c r="B398" s="4" t="s">
        <v>3115</v>
      </c>
      <c r="C398" s="4" t="s">
        <v>3116</v>
      </c>
      <c r="D398" s="4" t="s">
        <v>44</v>
      </c>
      <c r="E398" s="9" t="n">
        <v>37796</v>
      </c>
      <c r="F398" s="4" t="s">
        <v>142</v>
      </c>
      <c r="G398" s="4" t="s">
        <v>18</v>
      </c>
      <c r="H398" s="4" t="s">
        <v>46</v>
      </c>
      <c r="I398" s="7" t="n">
        <v>2016</v>
      </c>
      <c r="J398" s="7" t="n">
        <v>2021</v>
      </c>
      <c r="K398" s="4" t="s">
        <v>3117</v>
      </c>
      <c r="L398" s="4" t="s">
        <v>3118</v>
      </c>
      <c r="M398" s="4" t="s">
        <v>3119</v>
      </c>
      <c r="N398" s="4" t="s">
        <v>3120</v>
      </c>
      <c r="O398" s="4" t="s">
        <v>3121</v>
      </c>
      <c r="P398" s="4" t="s">
        <v>52</v>
      </c>
    </row>
    <row r="399" customFormat="false" ht="15" hidden="false" customHeight="false" outlineLevel="0" collapsed="false">
      <c r="A399" s="4" t="s">
        <v>3122</v>
      </c>
      <c r="B399" s="4" t="s">
        <v>3123</v>
      </c>
      <c r="C399" s="4" t="s">
        <v>3124</v>
      </c>
      <c r="D399" s="4" t="s">
        <v>44</v>
      </c>
      <c r="E399" s="9" t="n">
        <v>37730</v>
      </c>
      <c r="F399" s="4" t="s">
        <v>142</v>
      </c>
      <c r="G399" s="4" t="s">
        <v>18</v>
      </c>
      <c r="H399" s="4" t="s">
        <v>67</v>
      </c>
      <c r="I399" s="7" t="n">
        <v>2016</v>
      </c>
      <c r="J399" s="7" t="n">
        <v>2021</v>
      </c>
      <c r="K399" s="4" t="s">
        <v>3125</v>
      </c>
      <c r="L399" s="4" t="s">
        <v>3126</v>
      </c>
      <c r="M399" s="4" t="s">
        <v>1511</v>
      </c>
      <c r="N399" s="4" t="s">
        <v>3127</v>
      </c>
      <c r="O399" s="4" t="s">
        <v>3128</v>
      </c>
      <c r="P399" s="4" t="s">
        <v>52</v>
      </c>
    </row>
    <row r="400" customFormat="false" ht="15" hidden="false" customHeight="false" outlineLevel="0" collapsed="false">
      <c r="A400" s="4" t="s">
        <v>3129</v>
      </c>
      <c r="B400" s="4" t="s">
        <v>3130</v>
      </c>
      <c r="C400" s="4" t="s">
        <v>3131</v>
      </c>
      <c r="D400" s="4" t="s">
        <v>66</v>
      </c>
      <c r="E400" s="9" t="n">
        <v>37725</v>
      </c>
      <c r="F400" s="4" t="s">
        <v>45</v>
      </c>
      <c r="G400" s="4" t="s">
        <v>16</v>
      </c>
      <c r="H400" s="4" t="s">
        <v>46</v>
      </c>
      <c r="I400" s="7" t="n">
        <v>2016</v>
      </c>
      <c r="J400" s="7" t="n">
        <v>2022</v>
      </c>
      <c r="K400" s="4" t="s">
        <v>3132</v>
      </c>
      <c r="L400" s="4" t="s">
        <v>3133</v>
      </c>
      <c r="M400" s="4" t="s">
        <v>3134</v>
      </c>
      <c r="N400" s="4" t="s">
        <v>3135</v>
      </c>
      <c r="O400" s="4" t="s">
        <v>3136</v>
      </c>
      <c r="P400" s="4" t="s">
        <v>52</v>
      </c>
    </row>
    <row r="401" customFormat="false" ht="15" hidden="false" customHeight="false" outlineLevel="0" collapsed="false">
      <c r="A401" s="4" t="s">
        <v>3137</v>
      </c>
      <c r="B401" s="4" t="s">
        <v>3138</v>
      </c>
      <c r="C401" s="4" t="s">
        <v>1628</v>
      </c>
      <c r="D401" s="4" t="s">
        <v>66</v>
      </c>
      <c r="E401" s="9" t="n">
        <v>37960</v>
      </c>
      <c r="F401" s="4" t="s">
        <v>45</v>
      </c>
      <c r="G401" s="4" t="s">
        <v>14</v>
      </c>
      <c r="H401" s="4" t="s">
        <v>67</v>
      </c>
      <c r="I401" s="7" t="n">
        <v>2017</v>
      </c>
      <c r="J401" s="7" t="n">
        <v>2022</v>
      </c>
      <c r="K401" s="4" t="s">
        <v>3139</v>
      </c>
      <c r="L401" s="4" t="s">
        <v>3140</v>
      </c>
      <c r="M401" s="4" t="s">
        <v>3141</v>
      </c>
      <c r="N401" s="4" t="s">
        <v>3142</v>
      </c>
      <c r="O401" s="4" t="s">
        <v>3143</v>
      </c>
      <c r="P401" s="4" t="s">
        <v>52</v>
      </c>
    </row>
    <row r="402" customFormat="false" ht="15" hidden="false" customHeight="false" outlineLevel="0" collapsed="false">
      <c r="A402" s="4" t="s">
        <v>3144</v>
      </c>
      <c r="B402" s="4" t="s">
        <v>3145</v>
      </c>
      <c r="C402" s="4" t="s">
        <v>3146</v>
      </c>
      <c r="D402" s="4" t="s">
        <v>66</v>
      </c>
      <c r="E402" s="9" t="n">
        <v>37443</v>
      </c>
      <c r="F402" s="4" t="s">
        <v>56</v>
      </c>
      <c r="G402" s="4" t="s">
        <v>14</v>
      </c>
      <c r="H402" s="4" t="s">
        <v>46</v>
      </c>
      <c r="I402" s="7" t="n">
        <v>2015</v>
      </c>
      <c r="J402" s="7" t="n">
        <v>2021</v>
      </c>
      <c r="K402" s="4" t="s">
        <v>3147</v>
      </c>
      <c r="L402" s="4" t="s">
        <v>3148</v>
      </c>
      <c r="M402" s="4" t="s">
        <v>2929</v>
      </c>
      <c r="N402" s="4" t="s">
        <v>3149</v>
      </c>
      <c r="O402" s="4" t="s">
        <v>3150</v>
      </c>
      <c r="P402" s="4" t="s">
        <v>52</v>
      </c>
    </row>
    <row r="403" customFormat="false" ht="15" hidden="false" customHeight="false" outlineLevel="0" collapsed="false">
      <c r="A403" s="4" t="s">
        <v>3151</v>
      </c>
      <c r="B403" s="4" t="s">
        <v>3152</v>
      </c>
      <c r="C403" s="4" t="s">
        <v>3153</v>
      </c>
      <c r="D403" s="4" t="s">
        <v>66</v>
      </c>
      <c r="E403" s="9" t="n">
        <v>37647</v>
      </c>
      <c r="F403" s="4" t="s">
        <v>142</v>
      </c>
      <c r="G403" s="4" t="s">
        <v>14</v>
      </c>
      <c r="H403" s="4" t="s">
        <v>57</v>
      </c>
      <c r="I403" s="7" t="n">
        <v>2016</v>
      </c>
      <c r="J403" s="7" t="n">
        <v>2021</v>
      </c>
      <c r="K403" s="4" t="s">
        <v>3154</v>
      </c>
      <c r="L403" s="4" t="s">
        <v>3155</v>
      </c>
      <c r="M403" s="4" t="s">
        <v>3156</v>
      </c>
      <c r="N403" s="4" t="s">
        <v>3157</v>
      </c>
      <c r="O403" s="4" t="s">
        <v>3158</v>
      </c>
      <c r="P403" s="4" t="s">
        <v>52</v>
      </c>
    </row>
    <row r="404" customFormat="false" ht="15" hidden="false" customHeight="false" outlineLevel="0" collapsed="false">
      <c r="A404" s="4" t="s">
        <v>3159</v>
      </c>
      <c r="B404" s="4" t="s">
        <v>3160</v>
      </c>
      <c r="C404" s="4" t="s">
        <v>3161</v>
      </c>
      <c r="D404" s="4" t="s">
        <v>66</v>
      </c>
      <c r="E404" s="9" t="n">
        <v>38834</v>
      </c>
      <c r="F404" s="4" t="s">
        <v>56</v>
      </c>
      <c r="G404" s="4" t="s">
        <v>16</v>
      </c>
      <c r="H404" s="4" t="s">
        <v>57</v>
      </c>
      <c r="I404" s="7" t="n">
        <v>2019</v>
      </c>
      <c r="J404" s="7" t="n">
        <v>2024</v>
      </c>
      <c r="K404" s="4" t="s">
        <v>3162</v>
      </c>
      <c r="L404" s="4" t="s">
        <v>3163</v>
      </c>
      <c r="M404" s="4" t="s">
        <v>3164</v>
      </c>
      <c r="N404" s="4" t="s">
        <v>3165</v>
      </c>
      <c r="O404" s="4" t="s">
        <v>3166</v>
      </c>
      <c r="P404" s="4" t="s">
        <v>52</v>
      </c>
    </row>
    <row r="405" customFormat="false" ht="15" hidden="false" customHeight="false" outlineLevel="0" collapsed="false">
      <c r="A405" s="4" t="s">
        <v>3167</v>
      </c>
      <c r="B405" s="4" t="s">
        <v>3168</v>
      </c>
      <c r="C405" s="4" t="s">
        <v>3169</v>
      </c>
      <c r="D405" s="4" t="s">
        <v>66</v>
      </c>
      <c r="E405" s="9" t="n">
        <v>38577</v>
      </c>
      <c r="F405" s="4" t="s">
        <v>142</v>
      </c>
      <c r="G405" s="4" t="s">
        <v>15</v>
      </c>
      <c r="H405" s="4" t="s">
        <v>78</v>
      </c>
      <c r="I405" s="7" t="n">
        <v>2017</v>
      </c>
      <c r="J405" s="7" t="n">
        <v>2023</v>
      </c>
      <c r="K405" s="4" t="s">
        <v>3170</v>
      </c>
      <c r="L405" s="4" t="s">
        <v>3171</v>
      </c>
      <c r="M405" s="4" t="s">
        <v>3172</v>
      </c>
      <c r="N405" s="4" t="s">
        <v>3173</v>
      </c>
      <c r="O405" s="4" t="s">
        <v>3174</v>
      </c>
      <c r="P405" s="4" t="s">
        <v>52</v>
      </c>
    </row>
    <row r="406" customFormat="false" ht="15" hidden="false" customHeight="false" outlineLevel="0" collapsed="false">
      <c r="A406" s="4" t="s">
        <v>3175</v>
      </c>
      <c r="B406" s="4" t="s">
        <v>3176</v>
      </c>
      <c r="C406" s="4" t="s">
        <v>3177</v>
      </c>
      <c r="D406" s="4" t="s">
        <v>66</v>
      </c>
      <c r="E406" s="9" t="n">
        <v>38687</v>
      </c>
      <c r="F406" s="4" t="s">
        <v>77</v>
      </c>
      <c r="G406" s="4" t="s">
        <v>15</v>
      </c>
      <c r="H406" s="4" t="s">
        <v>57</v>
      </c>
      <c r="I406" s="7" t="n">
        <v>2018</v>
      </c>
      <c r="J406" s="7" t="n">
        <v>2023</v>
      </c>
      <c r="K406" s="4" t="s">
        <v>3178</v>
      </c>
      <c r="L406" s="4" t="s">
        <v>3179</v>
      </c>
      <c r="M406" s="4" t="s">
        <v>3180</v>
      </c>
      <c r="N406" s="4" t="s">
        <v>3181</v>
      </c>
      <c r="O406" s="4" t="s">
        <v>3182</v>
      </c>
      <c r="P406" s="4" t="s">
        <v>52</v>
      </c>
    </row>
    <row r="407" customFormat="false" ht="15" hidden="false" customHeight="false" outlineLevel="0" collapsed="false">
      <c r="A407" s="4" t="s">
        <v>3183</v>
      </c>
      <c r="B407" s="4" t="s">
        <v>3184</v>
      </c>
      <c r="C407" s="4" t="s">
        <v>3185</v>
      </c>
      <c r="D407" s="4" t="s">
        <v>66</v>
      </c>
      <c r="E407" s="9" t="n">
        <v>38269</v>
      </c>
      <c r="F407" s="4" t="s">
        <v>77</v>
      </c>
      <c r="G407" s="4" t="s">
        <v>14</v>
      </c>
      <c r="H407" s="4" t="s">
        <v>57</v>
      </c>
      <c r="I407" s="7" t="n">
        <v>2017</v>
      </c>
      <c r="J407" s="7" t="n">
        <v>2023</v>
      </c>
      <c r="K407" s="4" t="s">
        <v>3186</v>
      </c>
      <c r="L407" s="4" t="s">
        <v>3187</v>
      </c>
      <c r="M407" s="4" t="s">
        <v>3188</v>
      </c>
      <c r="N407" s="4" t="s">
        <v>3189</v>
      </c>
      <c r="O407" s="4" t="s">
        <v>3190</v>
      </c>
      <c r="P407" s="4" t="s">
        <v>52</v>
      </c>
    </row>
    <row r="408" customFormat="false" ht="15" hidden="false" customHeight="false" outlineLevel="0" collapsed="false">
      <c r="A408" s="4" t="s">
        <v>3191</v>
      </c>
      <c r="B408" s="4" t="s">
        <v>3192</v>
      </c>
      <c r="C408" s="4" t="s">
        <v>3193</v>
      </c>
      <c r="D408" s="4" t="s">
        <v>44</v>
      </c>
      <c r="E408" s="9" t="n">
        <v>38485</v>
      </c>
      <c r="F408" s="4" t="s">
        <v>77</v>
      </c>
      <c r="G408" s="4" t="s">
        <v>17</v>
      </c>
      <c r="H408" s="4" t="s">
        <v>67</v>
      </c>
      <c r="I408" s="7" t="n">
        <v>2018</v>
      </c>
      <c r="J408" s="7" t="n">
        <v>2023</v>
      </c>
      <c r="K408" s="4" t="s">
        <v>3194</v>
      </c>
      <c r="L408" s="4" t="s">
        <v>3195</v>
      </c>
      <c r="M408" s="4" t="s">
        <v>3196</v>
      </c>
      <c r="N408" s="4" t="s">
        <v>3197</v>
      </c>
      <c r="O408" s="4" t="s">
        <v>3198</v>
      </c>
      <c r="P408" s="4" t="s">
        <v>52</v>
      </c>
    </row>
    <row r="409" customFormat="false" ht="15" hidden="false" customHeight="false" outlineLevel="0" collapsed="false">
      <c r="A409" s="4" t="s">
        <v>3199</v>
      </c>
      <c r="B409" s="4" t="s">
        <v>3200</v>
      </c>
      <c r="C409" s="4" t="s">
        <v>3201</v>
      </c>
      <c r="D409" s="4" t="s">
        <v>44</v>
      </c>
      <c r="E409" s="9" t="n">
        <v>37718</v>
      </c>
      <c r="F409" s="4" t="s">
        <v>56</v>
      </c>
      <c r="G409" s="4" t="s">
        <v>15</v>
      </c>
      <c r="H409" s="4" t="s">
        <v>46</v>
      </c>
      <c r="I409" s="7" t="n">
        <v>2016</v>
      </c>
      <c r="J409" s="7" t="n">
        <v>2022</v>
      </c>
      <c r="K409" s="4" t="s">
        <v>3202</v>
      </c>
      <c r="L409" s="4" t="s">
        <v>3203</v>
      </c>
      <c r="M409" s="4" t="s">
        <v>3201</v>
      </c>
      <c r="N409" s="4" t="s">
        <v>3204</v>
      </c>
      <c r="O409" s="4" t="s">
        <v>3205</v>
      </c>
      <c r="P409" s="4" t="s">
        <v>52</v>
      </c>
    </row>
    <row r="410" customFormat="false" ht="15" hidden="false" customHeight="false" outlineLevel="0" collapsed="false">
      <c r="A410" s="4" t="s">
        <v>3206</v>
      </c>
      <c r="B410" s="4" t="s">
        <v>3207</v>
      </c>
      <c r="C410" s="4" t="s">
        <v>2711</v>
      </c>
      <c r="D410" s="4" t="s">
        <v>44</v>
      </c>
      <c r="E410" s="9" t="n">
        <v>37890</v>
      </c>
      <c r="F410" s="4" t="s">
        <v>77</v>
      </c>
      <c r="G410" s="4" t="s">
        <v>14</v>
      </c>
      <c r="H410" s="4" t="s">
        <v>78</v>
      </c>
      <c r="I410" s="7" t="n">
        <v>2016</v>
      </c>
      <c r="J410" s="7" t="n">
        <v>2022</v>
      </c>
      <c r="K410" s="4" t="s">
        <v>3208</v>
      </c>
      <c r="L410" s="4" t="s">
        <v>3209</v>
      </c>
      <c r="M410" s="4" t="s">
        <v>900</v>
      </c>
      <c r="N410" s="4" t="s">
        <v>3210</v>
      </c>
      <c r="O410" s="4" t="s">
        <v>3211</v>
      </c>
      <c r="P410" s="4" t="s">
        <v>52</v>
      </c>
    </row>
    <row r="411" customFormat="false" ht="15" hidden="false" customHeight="false" outlineLevel="0" collapsed="false">
      <c r="A411" s="4" t="s">
        <v>3212</v>
      </c>
      <c r="B411" s="4" t="s">
        <v>3213</v>
      </c>
      <c r="C411" s="4" t="s">
        <v>3214</v>
      </c>
      <c r="D411" s="4" t="s">
        <v>66</v>
      </c>
      <c r="E411" s="9" t="n">
        <v>39241</v>
      </c>
      <c r="F411" s="4" t="s">
        <v>56</v>
      </c>
      <c r="G411" s="4" t="s">
        <v>15</v>
      </c>
      <c r="H411" s="4" t="s">
        <v>57</v>
      </c>
      <c r="I411" s="7" t="n">
        <v>2020</v>
      </c>
      <c r="J411" s="7" t="n">
        <v>2025</v>
      </c>
      <c r="K411" s="4" t="s">
        <v>3215</v>
      </c>
      <c r="L411" s="4" t="s">
        <v>3216</v>
      </c>
      <c r="M411" s="4" t="s">
        <v>3217</v>
      </c>
      <c r="N411" s="4" t="s">
        <v>3218</v>
      </c>
      <c r="O411" s="4" t="s">
        <v>3219</v>
      </c>
      <c r="P411" s="4" t="s">
        <v>52</v>
      </c>
    </row>
    <row r="412" customFormat="false" ht="15" hidden="false" customHeight="false" outlineLevel="0" collapsed="false">
      <c r="A412" s="4" t="s">
        <v>3220</v>
      </c>
      <c r="B412" s="4" t="s">
        <v>3221</v>
      </c>
      <c r="C412" s="4" t="s">
        <v>3222</v>
      </c>
      <c r="D412" s="4" t="s">
        <v>66</v>
      </c>
      <c r="E412" s="9" t="n">
        <v>39039</v>
      </c>
      <c r="F412" s="4" t="s">
        <v>45</v>
      </c>
      <c r="G412" s="4" t="s">
        <v>17</v>
      </c>
      <c r="H412" s="4" t="s">
        <v>46</v>
      </c>
      <c r="I412" s="7" t="n">
        <v>2018</v>
      </c>
      <c r="J412" s="7" t="n">
        <v>2024</v>
      </c>
      <c r="K412" s="4" t="s">
        <v>3223</v>
      </c>
      <c r="L412" s="4" t="s">
        <v>3224</v>
      </c>
      <c r="M412" s="4" t="s">
        <v>3225</v>
      </c>
      <c r="N412" s="4" t="s">
        <v>3226</v>
      </c>
      <c r="O412" s="4" t="s">
        <v>3227</v>
      </c>
      <c r="P412" s="4" t="s">
        <v>52</v>
      </c>
    </row>
    <row r="413" customFormat="false" ht="15" hidden="false" customHeight="false" outlineLevel="0" collapsed="false">
      <c r="A413" s="4" t="s">
        <v>3228</v>
      </c>
      <c r="B413" s="4" t="s">
        <v>3229</v>
      </c>
      <c r="C413" s="4" t="s">
        <v>570</v>
      </c>
      <c r="D413" s="4" t="s">
        <v>44</v>
      </c>
      <c r="E413" s="9" t="n">
        <v>37866</v>
      </c>
      <c r="F413" s="4" t="s">
        <v>142</v>
      </c>
      <c r="G413" s="4" t="s">
        <v>15</v>
      </c>
      <c r="H413" s="4" t="s">
        <v>67</v>
      </c>
      <c r="I413" s="7" t="n">
        <v>2016</v>
      </c>
      <c r="J413" s="7" t="n">
        <v>2021</v>
      </c>
      <c r="K413" s="4" t="s">
        <v>3230</v>
      </c>
      <c r="L413" s="4" t="s">
        <v>3231</v>
      </c>
      <c r="M413" s="4" t="s">
        <v>726</v>
      </c>
      <c r="N413" s="4" t="s">
        <v>3232</v>
      </c>
      <c r="O413" s="4" t="s">
        <v>3233</v>
      </c>
      <c r="P413" s="4" t="s">
        <v>52</v>
      </c>
    </row>
    <row r="414" customFormat="false" ht="15" hidden="false" customHeight="false" outlineLevel="0" collapsed="false">
      <c r="A414" s="4" t="s">
        <v>3234</v>
      </c>
      <c r="B414" s="4" t="s">
        <v>3235</v>
      </c>
      <c r="C414" s="4" t="s">
        <v>3236</v>
      </c>
      <c r="D414" s="4" t="s">
        <v>66</v>
      </c>
      <c r="E414" s="9" t="n">
        <v>37979</v>
      </c>
      <c r="F414" s="4" t="s">
        <v>77</v>
      </c>
      <c r="G414" s="4" t="s">
        <v>16</v>
      </c>
      <c r="H414" s="4" t="s">
        <v>57</v>
      </c>
      <c r="I414" s="7" t="n">
        <v>2017</v>
      </c>
      <c r="J414" s="7" t="n">
        <v>2022</v>
      </c>
      <c r="K414" s="4" t="s">
        <v>3237</v>
      </c>
      <c r="L414" s="4" t="s">
        <v>3238</v>
      </c>
      <c r="M414" s="4" t="s">
        <v>1585</v>
      </c>
      <c r="N414" s="4" t="s">
        <v>3239</v>
      </c>
      <c r="O414" s="4" t="s">
        <v>3240</v>
      </c>
      <c r="P414" s="4" t="s">
        <v>52</v>
      </c>
    </row>
    <row r="415" customFormat="false" ht="15" hidden="false" customHeight="false" outlineLevel="0" collapsed="false">
      <c r="A415" s="4" t="s">
        <v>3241</v>
      </c>
      <c r="B415" s="4" t="s">
        <v>3242</v>
      </c>
      <c r="C415" s="4" t="s">
        <v>3243</v>
      </c>
      <c r="D415" s="4" t="s">
        <v>66</v>
      </c>
      <c r="E415" s="9" t="n">
        <v>38058</v>
      </c>
      <c r="F415" s="4" t="s">
        <v>142</v>
      </c>
      <c r="G415" s="4" t="s">
        <v>15</v>
      </c>
      <c r="H415" s="4" t="s">
        <v>78</v>
      </c>
      <c r="I415" s="7" t="n">
        <v>2018</v>
      </c>
      <c r="J415" s="7" t="n">
        <v>2023</v>
      </c>
      <c r="K415" s="4" t="s">
        <v>3244</v>
      </c>
      <c r="L415" s="4" t="s">
        <v>3245</v>
      </c>
      <c r="M415" s="4" t="s">
        <v>1987</v>
      </c>
      <c r="N415" s="4" t="s">
        <v>3246</v>
      </c>
      <c r="O415" s="4" t="s">
        <v>3247</v>
      </c>
      <c r="P415" s="4" t="s">
        <v>52</v>
      </c>
    </row>
    <row r="416" customFormat="false" ht="15" hidden="false" customHeight="false" outlineLevel="0" collapsed="false">
      <c r="A416" s="4" t="s">
        <v>3248</v>
      </c>
      <c r="B416" s="4" t="s">
        <v>3249</v>
      </c>
      <c r="C416" s="4" t="s">
        <v>3250</v>
      </c>
      <c r="D416" s="4" t="s">
        <v>66</v>
      </c>
      <c r="E416" s="9" t="n">
        <v>37659</v>
      </c>
      <c r="F416" s="4" t="s">
        <v>45</v>
      </c>
      <c r="G416" s="4" t="s">
        <v>14</v>
      </c>
      <c r="H416" s="4" t="s">
        <v>67</v>
      </c>
      <c r="I416" s="7" t="n">
        <v>2016</v>
      </c>
      <c r="J416" s="7" t="n">
        <v>2021</v>
      </c>
      <c r="K416" s="4" t="s">
        <v>3251</v>
      </c>
      <c r="L416" s="4" t="s">
        <v>3252</v>
      </c>
      <c r="M416" s="4" t="s">
        <v>3253</v>
      </c>
      <c r="N416" s="4" t="s">
        <v>3254</v>
      </c>
      <c r="O416" s="4" t="s">
        <v>3255</v>
      </c>
      <c r="P416" s="4" t="s">
        <v>52</v>
      </c>
    </row>
    <row r="417" customFormat="false" ht="15" hidden="false" customHeight="false" outlineLevel="0" collapsed="false">
      <c r="A417" s="4" t="s">
        <v>3256</v>
      </c>
      <c r="B417" s="4" t="s">
        <v>3257</v>
      </c>
      <c r="C417" s="4" t="s">
        <v>3258</v>
      </c>
      <c r="D417" s="4" t="s">
        <v>66</v>
      </c>
      <c r="E417" s="9" t="n">
        <v>38520</v>
      </c>
      <c r="F417" s="4" t="s">
        <v>142</v>
      </c>
      <c r="G417" s="4" t="s">
        <v>17</v>
      </c>
      <c r="H417" s="4" t="s">
        <v>46</v>
      </c>
      <c r="I417" s="7" t="n">
        <v>2018</v>
      </c>
      <c r="J417" s="7" t="n">
        <v>2024</v>
      </c>
      <c r="K417" s="4" t="s">
        <v>3259</v>
      </c>
      <c r="L417" s="4" t="s">
        <v>3260</v>
      </c>
      <c r="M417" s="4" t="s">
        <v>3261</v>
      </c>
      <c r="N417" s="4" t="s">
        <v>3262</v>
      </c>
      <c r="O417" s="4" t="s">
        <v>3263</v>
      </c>
      <c r="P417" s="4" t="s">
        <v>52</v>
      </c>
    </row>
    <row r="418" customFormat="false" ht="15" hidden="false" customHeight="false" outlineLevel="0" collapsed="false">
      <c r="A418" s="4" t="s">
        <v>3264</v>
      </c>
      <c r="B418" s="4" t="s">
        <v>3265</v>
      </c>
      <c r="C418" s="4" t="s">
        <v>3266</v>
      </c>
      <c r="D418" s="4" t="s">
        <v>44</v>
      </c>
      <c r="E418" s="9" t="n">
        <v>39027</v>
      </c>
      <c r="F418" s="4" t="s">
        <v>45</v>
      </c>
      <c r="G418" s="4" t="s">
        <v>17</v>
      </c>
      <c r="H418" s="4" t="s">
        <v>67</v>
      </c>
      <c r="I418" s="7" t="n">
        <v>2020</v>
      </c>
      <c r="J418" s="7" t="n">
        <v>2025</v>
      </c>
      <c r="K418" s="4" t="s">
        <v>3267</v>
      </c>
      <c r="L418" s="4" t="s">
        <v>3268</v>
      </c>
      <c r="M418" s="4" t="s">
        <v>3269</v>
      </c>
      <c r="N418" s="4" t="s">
        <v>3270</v>
      </c>
      <c r="O418" s="4" t="s">
        <v>3271</v>
      </c>
      <c r="P418" s="4" t="s">
        <v>73</v>
      </c>
    </row>
    <row r="419" customFormat="false" ht="15" hidden="false" customHeight="false" outlineLevel="0" collapsed="false">
      <c r="A419" s="4" t="s">
        <v>3272</v>
      </c>
      <c r="B419" s="4" t="s">
        <v>3273</v>
      </c>
      <c r="C419" s="4" t="s">
        <v>276</v>
      </c>
      <c r="D419" s="4" t="s">
        <v>66</v>
      </c>
      <c r="E419" s="9" t="n">
        <v>38448</v>
      </c>
      <c r="F419" s="4" t="s">
        <v>142</v>
      </c>
      <c r="G419" s="4" t="s">
        <v>17</v>
      </c>
      <c r="H419" s="4" t="s">
        <v>57</v>
      </c>
      <c r="I419" s="7" t="n">
        <v>2019</v>
      </c>
      <c r="J419" s="7" t="n">
        <v>2024</v>
      </c>
      <c r="K419" s="4" t="s">
        <v>3274</v>
      </c>
      <c r="L419" s="4" t="s">
        <v>3275</v>
      </c>
      <c r="M419" s="4" t="s">
        <v>3276</v>
      </c>
      <c r="N419" s="4" t="s">
        <v>3277</v>
      </c>
      <c r="O419" s="4" t="s">
        <v>3278</v>
      </c>
      <c r="P419" s="4" t="s">
        <v>52</v>
      </c>
    </row>
    <row r="420" customFormat="false" ht="15" hidden="false" customHeight="false" outlineLevel="0" collapsed="false">
      <c r="A420" s="4" t="s">
        <v>3279</v>
      </c>
      <c r="B420" s="4" t="s">
        <v>3280</v>
      </c>
      <c r="C420" s="4" t="s">
        <v>3281</v>
      </c>
      <c r="D420" s="4" t="s">
        <v>66</v>
      </c>
      <c r="E420" s="9" t="n">
        <v>37462</v>
      </c>
      <c r="F420" s="4" t="s">
        <v>45</v>
      </c>
      <c r="G420" s="4" t="s">
        <v>16</v>
      </c>
      <c r="H420" s="4" t="s">
        <v>67</v>
      </c>
      <c r="I420" s="7" t="n">
        <v>2015</v>
      </c>
      <c r="J420" s="7" t="n">
        <v>2021</v>
      </c>
      <c r="K420" s="4" t="s">
        <v>3282</v>
      </c>
      <c r="L420" s="4" t="s">
        <v>3283</v>
      </c>
      <c r="M420" s="4" t="s">
        <v>3284</v>
      </c>
      <c r="N420" s="4" t="s">
        <v>3285</v>
      </c>
      <c r="O420" s="4" t="s">
        <v>3286</v>
      </c>
      <c r="P420" s="4" t="s">
        <v>52</v>
      </c>
    </row>
    <row r="421" customFormat="false" ht="15" hidden="false" customHeight="false" outlineLevel="0" collapsed="false">
      <c r="A421" s="4" t="s">
        <v>3287</v>
      </c>
      <c r="B421" s="4" t="s">
        <v>3288</v>
      </c>
      <c r="C421" s="4" t="s">
        <v>3289</v>
      </c>
      <c r="D421" s="4" t="s">
        <v>44</v>
      </c>
      <c r="E421" s="9" t="n">
        <v>38879</v>
      </c>
      <c r="F421" s="4" t="s">
        <v>142</v>
      </c>
      <c r="G421" s="4" t="s">
        <v>15</v>
      </c>
      <c r="H421" s="4" t="s">
        <v>67</v>
      </c>
      <c r="I421" s="7" t="n">
        <v>2020</v>
      </c>
      <c r="J421" s="7" t="n">
        <v>2025</v>
      </c>
      <c r="K421" s="4" t="s">
        <v>3290</v>
      </c>
      <c r="L421" s="4" t="s">
        <v>3291</v>
      </c>
      <c r="M421" s="4" t="s">
        <v>3292</v>
      </c>
      <c r="N421" s="4" t="s">
        <v>3293</v>
      </c>
      <c r="O421" s="4" t="s">
        <v>3294</v>
      </c>
      <c r="P421" s="4" t="s">
        <v>52</v>
      </c>
    </row>
    <row r="422" customFormat="false" ht="15" hidden="false" customHeight="false" outlineLevel="0" collapsed="false">
      <c r="A422" s="4" t="s">
        <v>3295</v>
      </c>
      <c r="B422" s="4" t="s">
        <v>3296</v>
      </c>
      <c r="C422" s="4" t="s">
        <v>3297</v>
      </c>
      <c r="D422" s="4" t="s">
        <v>66</v>
      </c>
      <c r="E422" s="9" t="n">
        <v>38340</v>
      </c>
      <c r="F422" s="4" t="s">
        <v>45</v>
      </c>
      <c r="G422" s="4" t="s">
        <v>15</v>
      </c>
      <c r="H422" s="4" t="s">
        <v>78</v>
      </c>
      <c r="I422" s="7" t="n">
        <v>2017</v>
      </c>
      <c r="J422" s="7" t="n">
        <v>2022</v>
      </c>
      <c r="K422" s="4" t="s">
        <v>3298</v>
      </c>
      <c r="L422" s="4" t="s">
        <v>3299</v>
      </c>
      <c r="M422" s="4" t="s">
        <v>3300</v>
      </c>
      <c r="N422" s="4" t="s">
        <v>3301</v>
      </c>
      <c r="O422" s="4" t="s">
        <v>3302</v>
      </c>
      <c r="P422" s="4" t="s">
        <v>52</v>
      </c>
    </row>
    <row r="423" customFormat="false" ht="15" hidden="false" customHeight="false" outlineLevel="0" collapsed="false">
      <c r="A423" s="4" t="s">
        <v>3303</v>
      </c>
      <c r="B423" s="4" t="s">
        <v>3304</v>
      </c>
      <c r="C423" s="4" t="s">
        <v>3305</v>
      </c>
      <c r="D423" s="4" t="s">
        <v>66</v>
      </c>
      <c r="E423" s="9" t="n">
        <v>38139</v>
      </c>
      <c r="F423" s="4" t="s">
        <v>56</v>
      </c>
      <c r="G423" s="4" t="s">
        <v>14</v>
      </c>
      <c r="H423" s="4" t="s">
        <v>46</v>
      </c>
      <c r="I423" s="7" t="n">
        <v>2017</v>
      </c>
      <c r="J423" s="7" t="n">
        <v>2022</v>
      </c>
      <c r="K423" s="4" t="s">
        <v>3306</v>
      </c>
      <c r="L423" s="4" t="s">
        <v>3307</v>
      </c>
      <c r="M423" s="4" t="s">
        <v>3308</v>
      </c>
      <c r="N423" s="4" t="s">
        <v>3309</v>
      </c>
      <c r="O423" s="4" t="s">
        <v>3310</v>
      </c>
      <c r="P423" s="4" t="s">
        <v>52</v>
      </c>
    </row>
    <row r="424" customFormat="false" ht="15" hidden="false" customHeight="false" outlineLevel="0" collapsed="false">
      <c r="A424" s="4" t="s">
        <v>3311</v>
      </c>
      <c r="B424" s="4" t="s">
        <v>3312</v>
      </c>
      <c r="C424" s="4" t="s">
        <v>2447</v>
      </c>
      <c r="D424" s="4" t="s">
        <v>44</v>
      </c>
      <c r="E424" s="9" t="n">
        <v>38477</v>
      </c>
      <c r="F424" s="4" t="s">
        <v>56</v>
      </c>
      <c r="G424" s="4" t="s">
        <v>15</v>
      </c>
      <c r="H424" s="4" t="s">
        <v>46</v>
      </c>
      <c r="I424" s="7" t="n">
        <v>2018</v>
      </c>
      <c r="J424" s="7" t="n">
        <v>2023</v>
      </c>
      <c r="K424" s="4" t="s">
        <v>3313</v>
      </c>
      <c r="L424" s="4" t="s">
        <v>3314</v>
      </c>
      <c r="M424" s="4" t="s">
        <v>3315</v>
      </c>
      <c r="N424" s="4" t="s">
        <v>3316</v>
      </c>
      <c r="O424" s="4" t="s">
        <v>3317</v>
      </c>
      <c r="P424" s="4" t="s">
        <v>52</v>
      </c>
    </row>
    <row r="425" customFormat="false" ht="15" hidden="false" customHeight="false" outlineLevel="0" collapsed="false">
      <c r="A425" s="4" t="s">
        <v>3318</v>
      </c>
      <c r="B425" s="4" t="s">
        <v>3319</v>
      </c>
      <c r="C425" s="4" t="s">
        <v>2835</v>
      </c>
      <c r="D425" s="4" t="s">
        <v>44</v>
      </c>
      <c r="E425" s="9" t="n">
        <v>38869</v>
      </c>
      <c r="F425" s="4" t="s">
        <v>77</v>
      </c>
      <c r="G425" s="4" t="s">
        <v>14</v>
      </c>
      <c r="H425" s="4" t="s">
        <v>78</v>
      </c>
      <c r="I425" s="7" t="n">
        <v>2019</v>
      </c>
      <c r="J425" s="7" t="n">
        <v>2025</v>
      </c>
      <c r="K425" s="4" t="s">
        <v>3320</v>
      </c>
      <c r="L425" s="4" t="s">
        <v>3321</v>
      </c>
      <c r="M425" s="4" t="s">
        <v>3322</v>
      </c>
      <c r="N425" s="4" t="s">
        <v>3323</v>
      </c>
      <c r="O425" s="4" t="s">
        <v>3324</v>
      </c>
      <c r="P425" s="4" t="s">
        <v>52</v>
      </c>
    </row>
    <row r="426" customFormat="false" ht="15" hidden="false" customHeight="false" outlineLevel="0" collapsed="false">
      <c r="A426" s="4" t="s">
        <v>3325</v>
      </c>
      <c r="B426" s="4" t="s">
        <v>3326</v>
      </c>
      <c r="C426" s="4" t="s">
        <v>3327</v>
      </c>
      <c r="D426" s="4" t="s">
        <v>66</v>
      </c>
      <c r="E426" s="9" t="n">
        <v>38932</v>
      </c>
      <c r="F426" s="4" t="s">
        <v>45</v>
      </c>
      <c r="G426" s="4" t="s">
        <v>18</v>
      </c>
      <c r="H426" s="4" t="s">
        <v>78</v>
      </c>
      <c r="I426" s="7" t="n">
        <v>2020</v>
      </c>
      <c r="J426" s="7" t="n">
        <v>2025</v>
      </c>
      <c r="K426" s="4" t="s">
        <v>3328</v>
      </c>
      <c r="L426" s="4" t="s">
        <v>3329</v>
      </c>
      <c r="M426" s="4" t="s">
        <v>3330</v>
      </c>
      <c r="N426" s="4" t="s">
        <v>3331</v>
      </c>
      <c r="O426" s="4" t="s">
        <v>3332</v>
      </c>
      <c r="P426" s="4" t="s">
        <v>73</v>
      </c>
    </row>
    <row r="427" customFormat="false" ht="15" hidden="false" customHeight="false" outlineLevel="0" collapsed="false">
      <c r="A427" s="4" t="s">
        <v>3333</v>
      </c>
      <c r="B427" s="4" t="s">
        <v>3334</v>
      </c>
      <c r="C427" s="4" t="s">
        <v>3335</v>
      </c>
      <c r="D427" s="4" t="s">
        <v>44</v>
      </c>
      <c r="E427" s="9" t="n">
        <v>37373</v>
      </c>
      <c r="F427" s="4" t="s">
        <v>142</v>
      </c>
      <c r="G427" s="4" t="s">
        <v>18</v>
      </c>
      <c r="H427" s="4" t="s">
        <v>57</v>
      </c>
      <c r="I427" s="7" t="n">
        <v>2016</v>
      </c>
      <c r="J427" s="7" t="n">
        <v>2021</v>
      </c>
      <c r="K427" s="4" t="s">
        <v>3336</v>
      </c>
      <c r="L427" s="4" t="s">
        <v>3337</v>
      </c>
      <c r="M427" s="4" t="s">
        <v>3003</v>
      </c>
      <c r="N427" s="4" t="s">
        <v>3338</v>
      </c>
      <c r="O427" s="4" t="s">
        <v>3339</v>
      </c>
      <c r="P427" s="4" t="s">
        <v>52</v>
      </c>
    </row>
    <row r="428" customFormat="false" ht="15" hidden="false" customHeight="false" outlineLevel="0" collapsed="false">
      <c r="A428" s="4" t="s">
        <v>3340</v>
      </c>
      <c r="B428" s="4" t="s">
        <v>3341</v>
      </c>
      <c r="C428" s="4" t="s">
        <v>3342</v>
      </c>
      <c r="D428" s="4" t="s">
        <v>66</v>
      </c>
      <c r="E428" s="9" t="n">
        <v>39064</v>
      </c>
      <c r="F428" s="4" t="s">
        <v>45</v>
      </c>
      <c r="G428" s="4" t="s">
        <v>17</v>
      </c>
      <c r="H428" s="4" t="s">
        <v>78</v>
      </c>
      <c r="I428" s="7" t="n">
        <v>2019</v>
      </c>
      <c r="J428" s="7" t="n">
        <v>2024</v>
      </c>
      <c r="K428" s="4" t="s">
        <v>3343</v>
      </c>
      <c r="L428" s="4" t="s">
        <v>3344</v>
      </c>
      <c r="M428" s="4" t="s">
        <v>1823</v>
      </c>
      <c r="N428" s="4" t="s">
        <v>3345</v>
      </c>
      <c r="O428" s="4" t="s">
        <v>3346</v>
      </c>
      <c r="P428" s="4" t="s">
        <v>52</v>
      </c>
    </row>
    <row r="429" customFormat="false" ht="15" hidden="false" customHeight="false" outlineLevel="0" collapsed="false">
      <c r="A429" s="4" t="s">
        <v>3347</v>
      </c>
      <c r="B429" s="4" t="s">
        <v>3348</v>
      </c>
      <c r="C429" s="4" t="s">
        <v>3349</v>
      </c>
      <c r="D429" s="4" t="s">
        <v>66</v>
      </c>
      <c r="E429" s="9" t="n">
        <v>38607</v>
      </c>
      <c r="F429" s="4" t="s">
        <v>56</v>
      </c>
      <c r="G429" s="4" t="s">
        <v>16</v>
      </c>
      <c r="H429" s="4" t="s">
        <v>57</v>
      </c>
      <c r="I429" s="7" t="n">
        <v>2018</v>
      </c>
      <c r="J429" s="7" t="n">
        <v>2024</v>
      </c>
      <c r="K429" s="4" t="s">
        <v>3350</v>
      </c>
      <c r="L429" s="4" t="s">
        <v>3351</v>
      </c>
      <c r="M429" s="4" t="s">
        <v>213</v>
      </c>
      <c r="N429" s="4" t="s">
        <v>3352</v>
      </c>
      <c r="O429" s="4" t="s">
        <v>3353</v>
      </c>
      <c r="P429" s="4" t="s">
        <v>52</v>
      </c>
    </row>
    <row r="430" customFormat="false" ht="15" hidden="false" customHeight="false" outlineLevel="0" collapsed="false">
      <c r="A430" s="4" t="s">
        <v>3354</v>
      </c>
      <c r="B430" s="4" t="s">
        <v>3355</v>
      </c>
      <c r="C430" s="4" t="s">
        <v>3356</v>
      </c>
      <c r="D430" s="4" t="s">
        <v>66</v>
      </c>
      <c r="E430" s="9" t="n">
        <v>37537</v>
      </c>
      <c r="F430" s="4" t="s">
        <v>56</v>
      </c>
      <c r="G430" s="4" t="s">
        <v>16</v>
      </c>
      <c r="H430" s="4" t="s">
        <v>78</v>
      </c>
      <c r="I430" s="7" t="n">
        <v>2015</v>
      </c>
      <c r="J430" s="7" t="n">
        <v>2021</v>
      </c>
      <c r="K430" s="4" t="s">
        <v>3357</v>
      </c>
      <c r="L430" s="4" t="s">
        <v>3358</v>
      </c>
      <c r="M430" s="4" t="s">
        <v>3359</v>
      </c>
      <c r="N430" s="4" t="s">
        <v>3360</v>
      </c>
      <c r="O430" s="4" t="s">
        <v>3361</v>
      </c>
      <c r="P430" s="4" t="s">
        <v>52</v>
      </c>
    </row>
    <row r="431" customFormat="false" ht="15" hidden="false" customHeight="false" outlineLevel="0" collapsed="false">
      <c r="A431" s="4" t="s">
        <v>3362</v>
      </c>
      <c r="B431" s="4" t="s">
        <v>3363</v>
      </c>
      <c r="C431" s="4" t="s">
        <v>3364</v>
      </c>
      <c r="D431" s="4" t="s">
        <v>44</v>
      </c>
      <c r="E431" s="9" t="n">
        <v>38112</v>
      </c>
      <c r="F431" s="4" t="s">
        <v>142</v>
      </c>
      <c r="G431" s="4" t="s">
        <v>14</v>
      </c>
      <c r="H431" s="4" t="s">
        <v>67</v>
      </c>
      <c r="I431" s="7" t="n">
        <v>2016</v>
      </c>
      <c r="J431" s="7" t="n">
        <v>2022</v>
      </c>
      <c r="K431" s="4" t="s">
        <v>3365</v>
      </c>
      <c r="L431" s="4" t="s">
        <v>3366</v>
      </c>
      <c r="M431" s="4" t="s">
        <v>3359</v>
      </c>
      <c r="N431" s="4" t="s">
        <v>3367</v>
      </c>
      <c r="O431" s="4" t="s">
        <v>3368</v>
      </c>
      <c r="P431" s="4" t="s">
        <v>52</v>
      </c>
    </row>
    <row r="432" customFormat="false" ht="15" hidden="false" customHeight="false" outlineLevel="0" collapsed="false">
      <c r="A432" s="4" t="s">
        <v>3369</v>
      </c>
      <c r="B432" s="4" t="s">
        <v>3370</v>
      </c>
      <c r="C432" s="4" t="s">
        <v>3371</v>
      </c>
      <c r="D432" s="4" t="s">
        <v>44</v>
      </c>
      <c r="E432" s="9" t="n">
        <v>37875</v>
      </c>
      <c r="F432" s="4" t="s">
        <v>56</v>
      </c>
      <c r="G432" s="4" t="s">
        <v>15</v>
      </c>
      <c r="H432" s="4" t="s">
        <v>46</v>
      </c>
      <c r="I432" s="7" t="n">
        <v>2015</v>
      </c>
      <c r="J432" s="7" t="n">
        <v>2021</v>
      </c>
      <c r="K432" s="4" t="s">
        <v>3372</v>
      </c>
      <c r="L432" s="4" t="s">
        <v>3373</v>
      </c>
      <c r="M432" s="4" t="s">
        <v>3374</v>
      </c>
      <c r="N432" s="4" t="s">
        <v>3375</v>
      </c>
      <c r="O432" s="4" t="s">
        <v>3376</v>
      </c>
      <c r="P432" s="4" t="s">
        <v>52</v>
      </c>
    </row>
    <row r="433" customFormat="false" ht="15" hidden="false" customHeight="false" outlineLevel="0" collapsed="false">
      <c r="A433" s="4" t="s">
        <v>3377</v>
      </c>
      <c r="B433" s="4" t="s">
        <v>3378</v>
      </c>
      <c r="C433" s="4" t="s">
        <v>3379</v>
      </c>
      <c r="D433" s="4" t="s">
        <v>66</v>
      </c>
      <c r="E433" s="9" t="n">
        <v>38560</v>
      </c>
      <c r="F433" s="4" t="s">
        <v>45</v>
      </c>
      <c r="G433" s="4" t="s">
        <v>18</v>
      </c>
      <c r="H433" s="4" t="s">
        <v>67</v>
      </c>
      <c r="I433" s="7" t="n">
        <v>2017</v>
      </c>
      <c r="J433" s="7" t="n">
        <v>2023</v>
      </c>
      <c r="K433" s="4" t="s">
        <v>3380</v>
      </c>
      <c r="L433" s="4" t="s">
        <v>3381</v>
      </c>
      <c r="M433" s="4" t="s">
        <v>3382</v>
      </c>
      <c r="N433" s="4" t="s">
        <v>3383</v>
      </c>
      <c r="O433" s="4" t="s">
        <v>3384</v>
      </c>
      <c r="P433" s="4" t="s">
        <v>52</v>
      </c>
    </row>
    <row r="434" customFormat="false" ht="15" hidden="false" customHeight="false" outlineLevel="0" collapsed="false">
      <c r="A434" s="4" t="s">
        <v>3385</v>
      </c>
      <c r="B434" s="4" t="s">
        <v>3386</v>
      </c>
      <c r="C434" s="4" t="s">
        <v>3387</v>
      </c>
      <c r="D434" s="4" t="s">
        <v>44</v>
      </c>
      <c r="E434" s="9" t="n">
        <v>38500</v>
      </c>
      <c r="F434" s="4" t="s">
        <v>45</v>
      </c>
      <c r="G434" s="4" t="s">
        <v>18</v>
      </c>
      <c r="H434" s="4" t="s">
        <v>57</v>
      </c>
      <c r="I434" s="7" t="n">
        <v>2017</v>
      </c>
      <c r="J434" s="7" t="n">
        <v>2023</v>
      </c>
      <c r="K434" s="4" t="s">
        <v>3388</v>
      </c>
      <c r="L434" s="4" t="s">
        <v>3389</v>
      </c>
      <c r="M434" s="4" t="s">
        <v>3390</v>
      </c>
      <c r="N434" s="4" t="s">
        <v>3391</v>
      </c>
      <c r="O434" s="4" t="s">
        <v>3392</v>
      </c>
      <c r="P434" s="4" t="s">
        <v>52</v>
      </c>
    </row>
    <row r="435" customFormat="false" ht="15" hidden="false" customHeight="false" outlineLevel="0" collapsed="false">
      <c r="A435" s="4" t="s">
        <v>3393</v>
      </c>
      <c r="B435" s="4" t="s">
        <v>3394</v>
      </c>
      <c r="C435" s="4" t="s">
        <v>1890</v>
      </c>
      <c r="D435" s="4" t="s">
        <v>66</v>
      </c>
      <c r="E435" s="9" t="n">
        <v>37533</v>
      </c>
      <c r="F435" s="4" t="s">
        <v>142</v>
      </c>
      <c r="G435" s="4" t="s">
        <v>16</v>
      </c>
      <c r="H435" s="4" t="s">
        <v>67</v>
      </c>
      <c r="I435" s="7" t="n">
        <v>2015</v>
      </c>
      <c r="J435" s="7" t="n">
        <v>2021</v>
      </c>
      <c r="K435" s="4" t="s">
        <v>3395</v>
      </c>
      <c r="L435" s="4" t="s">
        <v>3396</v>
      </c>
      <c r="M435" s="4" t="s">
        <v>949</v>
      </c>
      <c r="N435" s="4" t="s">
        <v>3397</v>
      </c>
      <c r="O435" s="4" t="s">
        <v>3398</v>
      </c>
      <c r="P435" s="4" t="s">
        <v>52</v>
      </c>
    </row>
    <row r="436" customFormat="false" ht="15" hidden="false" customHeight="false" outlineLevel="0" collapsed="false">
      <c r="A436" s="4" t="s">
        <v>3399</v>
      </c>
      <c r="B436" s="4" t="s">
        <v>3400</v>
      </c>
      <c r="C436" s="4" t="s">
        <v>3401</v>
      </c>
      <c r="D436" s="4" t="s">
        <v>44</v>
      </c>
      <c r="E436" s="9" t="n">
        <v>39101</v>
      </c>
      <c r="F436" s="4" t="s">
        <v>56</v>
      </c>
      <c r="G436" s="4" t="s">
        <v>17</v>
      </c>
      <c r="H436" s="4" t="s">
        <v>46</v>
      </c>
      <c r="I436" s="7" t="n">
        <v>2019</v>
      </c>
      <c r="J436" s="7" t="n">
        <v>2025</v>
      </c>
      <c r="K436" s="4" t="s">
        <v>3402</v>
      </c>
      <c r="L436" s="4" t="s">
        <v>3403</v>
      </c>
      <c r="M436" s="4" t="s">
        <v>3266</v>
      </c>
      <c r="N436" s="4" t="s">
        <v>3404</v>
      </c>
      <c r="O436" s="4" t="s">
        <v>3405</v>
      </c>
      <c r="P436" s="4" t="s">
        <v>73</v>
      </c>
    </row>
    <row r="437" customFormat="false" ht="15" hidden="false" customHeight="false" outlineLevel="0" collapsed="false">
      <c r="A437" s="4" t="s">
        <v>3406</v>
      </c>
      <c r="B437" s="4" t="s">
        <v>3407</v>
      </c>
      <c r="C437" s="4" t="s">
        <v>3408</v>
      </c>
      <c r="D437" s="4" t="s">
        <v>66</v>
      </c>
      <c r="E437" s="9" t="n">
        <v>37849</v>
      </c>
      <c r="F437" s="4" t="s">
        <v>142</v>
      </c>
      <c r="G437" s="4" t="s">
        <v>14</v>
      </c>
      <c r="H437" s="4" t="s">
        <v>57</v>
      </c>
      <c r="I437" s="7" t="n">
        <v>2015</v>
      </c>
      <c r="J437" s="7" t="n">
        <v>2021</v>
      </c>
      <c r="K437" s="4" t="s">
        <v>3409</v>
      </c>
      <c r="L437" s="4" t="s">
        <v>3410</v>
      </c>
      <c r="M437" s="4" t="s">
        <v>3411</v>
      </c>
      <c r="N437" s="4" t="s">
        <v>3412</v>
      </c>
      <c r="O437" s="4" t="s">
        <v>3413</v>
      </c>
      <c r="P437" s="4" t="s">
        <v>52</v>
      </c>
    </row>
    <row r="438" customFormat="false" ht="15" hidden="false" customHeight="false" outlineLevel="0" collapsed="false">
      <c r="A438" s="4" t="s">
        <v>3414</v>
      </c>
      <c r="B438" s="4" t="s">
        <v>3415</v>
      </c>
      <c r="C438" s="4" t="s">
        <v>686</v>
      </c>
      <c r="D438" s="4" t="s">
        <v>66</v>
      </c>
      <c r="E438" s="9" t="n">
        <v>37525</v>
      </c>
      <c r="F438" s="4" t="s">
        <v>142</v>
      </c>
      <c r="G438" s="4" t="s">
        <v>17</v>
      </c>
      <c r="H438" s="4" t="s">
        <v>78</v>
      </c>
      <c r="I438" s="7" t="n">
        <v>2016</v>
      </c>
      <c r="J438" s="7" t="n">
        <v>2021</v>
      </c>
      <c r="K438" s="4" t="s">
        <v>3416</v>
      </c>
      <c r="L438" s="4" t="s">
        <v>3417</v>
      </c>
      <c r="M438" s="4" t="s">
        <v>3418</v>
      </c>
      <c r="N438" s="4" t="s">
        <v>3419</v>
      </c>
      <c r="O438" s="4" t="s">
        <v>3420</v>
      </c>
      <c r="P438" s="4" t="s">
        <v>52</v>
      </c>
    </row>
    <row r="439" customFormat="false" ht="15" hidden="false" customHeight="false" outlineLevel="0" collapsed="false">
      <c r="A439" s="4" t="s">
        <v>3421</v>
      </c>
      <c r="B439" s="4" t="s">
        <v>3422</v>
      </c>
      <c r="C439" s="4" t="s">
        <v>3423</v>
      </c>
      <c r="D439" s="4" t="s">
        <v>44</v>
      </c>
      <c r="E439" s="9" t="n">
        <v>38872</v>
      </c>
      <c r="F439" s="4" t="s">
        <v>142</v>
      </c>
      <c r="G439" s="4" t="s">
        <v>14</v>
      </c>
      <c r="H439" s="4" t="s">
        <v>67</v>
      </c>
      <c r="I439" s="7" t="n">
        <v>2019</v>
      </c>
      <c r="J439" s="7" t="n">
        <v>2024</v>
      </c>
      <c r="K439" s="4" t="s">
        <v>3424</v>
      </c>
      <c r="L439" s="4" t="s">
        <v>3425</v>
      </c>
      <c r="M439" s="4" t="s">
        <v>3426</v>
      </c>
      <c r="N439" s="4" t="s">
        <v>3427</v>
      </c>
      <c r="O439" s="4" t="s">
        <v>3428</v>
      </c>
      <c r="P439" s="4" t="s">
        <v>52</v>
      </c>
    </row>
    <row r="440" customFormat="false" ht="15" hidden="false" customHeight="false" outlineLevel="0" collapsed="false">
      <c r="A440" s="4" t="s">
        <v>3429</v>
      </c>
      <c r="B440" s="4" t="s">
        <v>3430</v>
      </c>
      <c r="C440" s="4" t="s">
        <v>3431</v>
      </c>
      <c r="D440" s="4" t="s">
        <v>66</v>
      </c>
      <c r="E440" s="9" t="n">
        <v>37846</v>
      </c>
      <c r="F440" s="4" t="s">
        <v>56</v>
      </c>
      <c r="G440" s="4" t="s">
        <v>14</v>
      </c>
      <c r="H440" s="4" t="s">
        <v>78</v>
      </c>
      <c r="I440" s="7" t="n">
        <v>2017</v>
      </c>
      <c r="J440" s="7" t="n">
        <v>2022</v>
      </c>
      <c r="K440" s="4" t="s">
        <v>3432</v>
      </c>
      <c r="L440" s="4" t="s">
        <v>3433</v>
      </c>
      <c r="M440" s="4" t="s">
        <v>3434</v>
      </c>
      <c r="N440" s="4" t="s">
        <v>3435</v>
      </c>
      <c r="O440" s="4" t="s">
        <v>3436</v>
      </c>
      <c r="P440" s="4" t="s">
        <v>52</v>
      </c>
    </row>
    <row r="441" customFormat="false" ht="15" hidden="false" customHeight="false" outlineLevel="0" collapsed="false">
      <c r="A441" s="4" t="s">
        <v>3437</v>
      </c>
      <c r="B441" s="4" t="s">
        <v>3438</v>
      </c>
      <c r="C441" s="4" t="s">
        <v>3439</v>
      </c>
      <c r="D441" s="4" t="s">
        <v>66</v>
      </c>
      <c r="E441" s="9" t="n">
        <v>37293</v>
      </c>
      <c r="F441" s="4" t="s">
        <v>77</v>
      </c>
      <c r="G441" s="4" t="s">
        <v>17</v>
      </c>
      <c r="H441" s="4" t="s">
        <v>67</v>
      </c>
      <c r="I441" s="7" t="n">
        <v>2016</v>
      </c>
      <c r="J441" s="7" t="n">
        <v>2021</v>
      </c>
      <c r="K441" s="4" t="s">
        <v>3440</v>
      </c>
      <c r="L441" s="4" t="s">
        <v>3441</v>
      </c>
      <c r="M441" s="4" t="s">
        <v>3442</v>
      </c>
      <c r="N441" s="4" t="s">
        <v>3443</v>
      </c>
      <c r="O441" s="4" t="s">
        <v>3444</v>
      </c>
      <c r="P441" s="4" t="s">
        <v>52</v>
      </c>
    </row>
    <row r="442" customFormat="false" ht="15" hidden="false" customHeight="false" outlineLevel="0" collapsed="false">
      <c r="A442" s="4" t="s">
        <v>3445</v>
      </c>
      <c r="B442" s="4" t="s">
        <v>3446</v>
      </c>
      <c r="C442" s="4" t="s">
        <v>3447</v>
      </c>
      <c r="D442" s="4" t="s">
        <v>44</v>
      </c>
      <c r="E442" s="9" t="n">
        <v>38588</v>
      </c>
      <c r="F442" s="4" t="s">
        <v>45</v>
      </c>
      <c r="G442" s="4" t="s">
        <v>16</v>
      </c>
      <c r="H442" s="4" t="s">
        <v>46</v>
      </c>
      <c r="I442" s="7" t="n">
        <v>2018</v>
      </c>
      <c r="J442" s="7" t="n">
        <v>2024</v>
      </c>
      <c r="K442" s="4" t="s">
        <v>3448</v>
      </c>
      <c r="L442" s="4" t="s">
        <v>3449</v>
      </c>
      <c r="M442" s="4" t="s">
        <v>3450</v>
      </c>
      <c r="N442" s="4" t="s">
        <v>3451</v>
      </c>
      <c r="O442" s="4" t="s">
        <v>3452</v>
      </c>
      <c r="P442" s="4" t="s">
        <v>52</v>
      </c>
    </row>
    <row r="443" customFormat="false" ht="15" hidden="false" customHeight="false" outlineLevel="0" collapsed="false">
      <c r="A443" s="4" t="s">
        <v>3453</v>
      </c>
      <c r="B443" s="4" t="s">
        <v>3454</v>
      </c>
      <c r="C443" s="4" t="s">
        <v>1797</v>
      </c>
      <c r="D443" s="4" t="s">
        <v>66</v>
      </c>
      <c r="E443" s="9" t="n">
        <v>38292</v>
      </c>
      <c r="F443" s="4" t="s">
        <v>77</v>
      </c>
      <c r="G443" s="4" t="s">
        <v>14</v>
      </c>
      <c r="H443" s="4" t="s">
        <v>78</v>
      </c>
      <c r="I443" s="7" t="n">
        <v>2017</v>
      </c>
      <c r="J443" s="7" t="n">
        <v>2022</v>
      </c>
      <c r="K443" s="4" t="s">
        <v>3455</v>
      </c>
      <c r="L443" s="4" t="s">
        <v>3456</v>
      </c>
      <c r="M443" s="4" t="s">
        <v>3457</v>
      </c>
      <c r="N443" s="4" t="s">
        <v>3458</v>
      </c>
      <c r="O443" s="4" t="s">
        <v>3459</v>
      </c>
      <c r="P443" s="4" t="s">
        <v>52</v>
      </c>
    </row>
    <row r="444" customFormat="false" ht="15" hidden="false" customHeight="false" outlineLevel="0" collapsed="false">
      <c r="A444" s="4" t="s">
        <v>3460</v>
      </c>
      <c r="B444" s="4" t="s">
        <v>3461</v>
      </c>
      <c r="C444" s="4" t="s">
        <v>3462</v>
      </c>
      <c r="D444" s="4" t="s">
        <v>66</v>
      </c>
      <c r="E444" s="9" t="n">
        <v>38298</v>
      </c>
      <c r="F444" s="4" t="s">
        <v>77</v>
      </c>
      <c r="G444" s="4" t="s">
        <v>14</v>
      </c>
      <c r="H444" s="4" t="s">
        <v>78</v>
      </c>
      <c r="I444" s="7" t="n">
        <v>2016</v>
      </c>
      <c r="J444" s="7" t="n">
        <v>2022</v>
      </c>
      <c r="K444" s="4" t="s">
        <v>3463</v>
      </c>
      <c r="L444" s="4" t="s">
        <v>3464</v>
      </c>
      <c r="M444" s="4" t="s">
        <v>3465</v>
      </c>
      <c r="N444" s="4" t="s">
        <v>3466</v>
      </c>
      <c r="O444" s="4" t="s">
        <v>3467</v>
      </c>
      <c r="P444" s="4" t="s">
        <v>52</v>
      </c>
    </row>
    <row r="445" customFormat="false" ht="15" hidden="false" customHeight="false" outlineLevel="0" collapsed="false">
      <c r="A445" s="4" t="s">
        <v>3468</v>
      </c>
      <c r="B445" s="4" t="s">
        <v>3469</v>
      </c>
      <c r="C445" s="4" t="s">
        <v>3470</v>
      </c>
      <c r="D445" s="4" t="s">
        <v>44</v>
      </c>
      <c r="E445" s="9" t="n">
        <v>38355</v>
      </c>
      <c r="F445" s="4" t="s">
        <v>77</v>
      </c>
      <c r="G445" s="4" t="s">
        <v>18</v>
      </c>
      <c r="H445" s="4" t="s">
        <v>46</v>
      </c>
      <c r="I445" s="7" t="n">
        <v>2019</v>
      </c>
      <c r="J445" s="7" t="n">
        <v>2024</v>
      </c>
      <c r="K445" s="4" t="s">
        <v>3471</v>
      </c>
      <c r="L445" s="4" t="s">
        <v>3472</v>
      </c>
      <c r="M445" s="4" t="s">
        <v>2018</v>
      </c>
      <c r="N445" s="4" t="s">
        <v>3473</v>
      </c>
      <c r="O445" s="4" t="s">
        <v>3474</v>
      </c>
      <c r="P445" s="4" t="s">
        <v>52</v>
      </c>
    </row>
    <row r="446" customFormat="false" ht="15" hidden="false" customHeight="false" outlineLevel="0" collapsed="false">
      <c r="A446" s="4" t="s">
        <v>3475</v>
      </c>
      <c r="B446" s="4" t="s">
        <v>3476</v>
      </c>
      <c r="C446" s="4" t="s">
        <v>3477</v>
      </c>
      <c r="D446" s="4" t="s">
        <v>44</v>
      </c>
      <c r="E446" s="9" t="n">
        <v>38734</v>
      </c>
      <c r="F446" s="4" t="s">
        <v>142</v>
      </c>
      <c r="G446" s="4" t="s">
        <v>15</v>
      </c>
      <c r="H446" s="4" t="s">
        <v>78</v>
      </c>
      <c r="I446" s="7" t="n">
        <v>2018</v>
      </c>
      <c r="J446" s="7" t="n">
        <v>2024</v>
      </c>
      <c r="K446" s="4" t="s">
        <v>3478</v>
      </c>
      <c r="L446" s="4" t="s">
        <v>3479</v>
      </c>
      <c r="M446" s="4" t="s">
        <v>3480</v>
      </c>
      <c r="N446" s="4" t="s">
        <v>3481</v>
      </c>
      <c r="O446" s="4" t="s">
        <v>3482</v>
      </c>
      <c r="P446" s="4" t="s">
        <v>52</v>
      </c>
    </row>
    <row r="447" customFormat="false" ht="15" hidden="false" customHeight="false" outlineLevel="0" collapsed="false">
      <c r="A447" s="4" t="s">
        <v>3483</v>
      </c>
      <c r="B447" s="4" t="s">
        <v>3484</v>
      </c>
      <c r="C447" s="4" t="s">
        <v>3485</v>
      </c>
      <c r="D447" s="4" t="s">
        <v>66</v>
      </c>
      <c r="E447" s="9" t="n">
        <v>37298</v>
      </c>
      <c r="F447" s="4" t="s">
        <v>56</v>
      </c>
      <c r="G447" s="4" t="s">
        <v>14</v>
      </c>
      <c r="H447" s="4" t="s">
        <v>57</v>
      </c>
      <c r="I447" s="7" t="n">
        <v>2015</v>
      </c>
      <c r="J447" s="7" t="n">
        <v>2021</v>
      </c>
      <c r="K447" s="4" t="s">
        <v>3486</v>
      </c>
      <c r="L447" s="4" t="s">
        <v>3487</v>
      </c>
      <c r="M447" s="4" t="s">
        <v>3488</v>
      </c>
      <c r="N447" s="4" t="s">
        <v>3489</v>
      </c>
      <c r="O447" s="4" t="s">
        <v>3490</v>
      </c>
      <c r="P447" s="4" t="s">
        <v>52</v>
      </c>
    </row>
    <row r="448" customFormat="false" ht="15" hidden="false" customHeight="false" outlineLevel="0" collapsed="false">
      <c r="A448" s="4" t="s">
        <v>3491</v>
      </c>
      <c r="B448" s="4" t="s">
        <v>3492</v>
      </c>
      <c r="C448" s="4" t="s">
        <v>477</v>
      </c>
      <c r="D448" s="4" t="s">
        <v>66</v>
      </c>
      <c r="E448" s="9" t="n">
        <v>37679</v>
      </c>
      <c r="F448" s="4" t="s">
        <v>77</v>
      </c>
      <c r="G448" s="4" t="s">
        <v>14</v>
      </c>
      <c r="H448" s="4" t="s">
        <v>78</v>
      </c>
      <c r="I448" s="7" t="n">
        <v>2016</v>
      </c>
      <c r="J448" s="7" t="n">
        <v>2021</v>
      </c>
      <c r="K448" s="4" t="s">
        <v>3259</v>
      </c>
      <c r="L448" s="4" t="s">
        <v>3493</v>
      </c>
      <c r="M448" s="4" t="s">
        <v>3494</v>
      </c>
      <c r="N448" s="4" t="s">
        <v>3495</v>
      </c>
      <c r="O448" s="4" t="s">
        <v>3496</v>
      </c>
      <c r="P448" s="4" t="s">
        <v>52</v>
      </c>
    </row>
    <row r="449" customFormat="false" ht="15" hidden="false" customHeight="false" outlineLevel="0" collapsed="false">
      <c r="A449" s="4" t="s">
        <v>3497</v>
      </c>
      <c r="B449" s="4" t="s">
        <v>3498</v>
      </c>
      <c r="C449" s="4" t="s">
        <v>3499</v>
      </c>
      <c r="D449" s="4" t="s">
        <v>66</v>
      </c>
      <c r="E449" s="9" t="n">
        <v>38525</v>
      </c>
      <c r="F449" s="4" t="s">
        <v>45</v>
      </c>
      <c r="G449" s="4" t="s">
        <v>16</v>
      </c>
      <c r="H449" s="4" t="s">
        <v>78</v>
      </c>
      <c r="I449" s="7" t="n">
        <v>2019</v>
      </c>
      <c r="J449" s="7" t="n">
        <v>2024</v>
      </c>
      <c r="K449" s="4" t="s">
        <v>3500</v>
      </c>
      <c r="L449" s="4" t="s">
        <v>3501</v>
      </c>
      <c r="M449" s="4" t="s">
        <v>3502</v>
      </c>
      <c r="N449" s="4" t="s">
        <v>3503</v>
      </c>
      <c r="O449" s="4" t="s">
        <v>3504</v>
      </c>
      <c r="P449" s="4" t="s">
        <v>52</v>
      </c>
    </row>
    <row r="450" customFormat="false" ht="15" hidden="false" customHeight="false" outlineLevel="0" collapsed="false">
      <c r="A450" s="4" t="s">
        <v>3505</v>
      </c>
      <c r="B450" s="4" t="s">
        <v>3506</v>
      </c>
      <c r="C450" s="4" t="s">
        <v>3507</v>
      </c>
      <c r="D450" s="4" t="s">
        <v>44</v>
      </c>
      <c r="E450" s="9" t="n">
        <v>38809</v>
      </c>
      <c r="F450" s="4" t="s">
        <v>45</v>
      </c>
      <c r="G450" s="4" t="s">
        <v>15</v>
      </c>
      <c r="H450" s="4" t="s">
        <v>67</v>
      </c>
      <c r="I450" s="7" t="n">
        <v>2018</v>
      </c>
      <c r="J450" s="7" t="n">
        <v>2024</v>
      </c>
      <c r="K450" s="4" t="s">
        <v>3508</v>
      </c>
      <c r="L450" s="4" t="s">
        <v>3509</v>
      </c>
      <c r="M450" s="4" t="s">
        <v>3510</v>
      </c>
      <c r="N450" s="4" t="s">
        <v>3511</v>
      </c>
      <c r="O450" s="4" t="s">
        <v>3512</v>
      </c>
      <c r="P450" s="4" t="s">
        <v>52</v>
      </c>
    </row>
    <row r="451" customFormat="false" ht="15" hidden="false" customHeight="false" outlineLevel="0" collapsed="false">
      <c r="A451" s="4" t="s">
        <v>3513</v>
      </c>
      <c r="B451" s="4" t="s">
        <v>3514</v>
      </c>
      <c r="C451" s="4" t="s">
        <v>3515</v>
      </c>
      <c r="D451" s="4" t="s">
        <v>44</v>
      </c>
      <c r="E451" s="9" t="n">
        <v>37774</v>
      </c>
      <c r="F451" s="4" t="s">
        <v>56</v>
      </c>
      <c r="G451" s="4" t="s">
        <v>15</v>
      </c>
      <c r="H451" s="4" t="s">
        <v>57</v>
      </c>
      <c r="I451" s="7" t="n">
        <v>2017</v>
      </c>
      <c r="J451" s="7" t="n">
        <v>2022</v>
      </c>
      <c r="K451" s="4" t="s">
        <v>3516</v>
      </c>
      <c r="L451" s="4" t="s">
        <v>3517</v>
      </c>
      <c r="M451" s="4" t="s">
        <v>306</v>
      </c>
      <c r="N451" s="4" t="s">
        <v>3518</v>
      </c>
      <c r="O451" s="4" t="s">
        <v>3519</v>
      </c>
      <c r="P451" s="4" t="s">
        <v>52</v>
      </c>
    </row>
    <row r="452" customFormat="false" ht="15" hidden="false" customHeight="false" outlineLevel="0" collapsed="false">
      <c r="A452" s="4" t="s">
        <v>3520</v>
      </c>
      <c r="B452" s="4" t="s">
        <v>3521</v>
      </c>
      <c r="C452" s="4" t="s">
        <v>458</v>
      </c>
      <c r="D452" s="4" t="s">
        <v>44</v>
      </c>
      <c r="E452" s="9" t="n">
        <v>38042</v>
      </c>
      <c r="F452" s="4" t="s">
        <v>56</v>
      </c>
      <c r="G452" s="4" t="s">
        <v>15</v>
      </c>
      <c r="H452" s="4" t="s">
        <v>57</v>
      </c>
      <c r="I452" s="7" t="n">
        <v>2017</v>
      </c>
      <c r="J452" s="7" t="n">
        <v>2023</v>
      </c>
      <c r="K452" s="4" t="s">
        <v>3522</v>
      </c>
      <c r="L452" s="4" t="s">
        <v>3523</v>
      </c>
      <c r="M452" s="4" t="s">
        <v>3524</v>
      </c>
      <c r="N452" s="4" t="s">
        <v>3525</v>
      </c>
      <c r="O452" s="4" t="s">
        <v>3526</v>
      </c>
      <c r="P452" s="4" t="s">
        <v>52</v>
      </c>
    </row>
    <row r="453" customFormat="false" ht="15" hidden="false" customHeight="false" outlineLevel="0" collapsed="false">
      <c r="A453" s="4" t="s">
        <v>3527</v>
      </c>
      <c r="B453" s="4" t="s">
        <v>3528</v>
      </c>
      <c r="C453" s="4" t="s">
        <v>2800</v>
      </c>
      <c r="D453" s="4" t="s">
        <v>66</v>
      </c>
      <c r="E453" s="9" t="n">
        <v>38934</v>
      </c>
      <c r="F453" s="4" t="s">
        <v>45</v>
      </c>
      <c r="G453" s="4" t="s">
        <v>14</v>
      </c>
      <c r="H453" s="4" t="s">
        <v>67</v>
      </c>
      <c r="I453" s="7" t="n">
        <v>2019</v>
      </c>
      <c r="J453" s="7" t="n">
        <v>2024</v>
      </c>
      <c r="K453" s="4" t="s">
        <v>3529</v>
      </c>
      <c r="L453" s="4" t="s">
        <v>3530</v>
      </c>
      <c r="M453" s="4" t="s">
        <v>1601</v>
      </c>
      <c r="N453" s="4" t="s">
        <v>3531</v>
      </c>
      <c r="O453" s="4" t="s">
        <v>3532</v>
      </c>
      <c r="P453" s="4" t="s">
        <v>52</v>
      </c>
    </row>
    <row r="454" customFormat="false" ht="15" hidden="false" customHeight="false" outlineLevel="0" collapsed="false">
      <c r="A454" s="4" t="s">
        <v>3533</v>
      </c>
      <c r="B454" s="4" t="s">
        <v>3534</v>
      </c>
      <c r="C454" s="4" t="s">
        <v>1550</v>
      </c>
      <c r="D454" s="4" t="s">
        <v>44</v>
      </c>
      <c r="E454" s="9" t="n">
        <v>38213</v>
      </c>
      <c r="F454" s="4" t="s">
        <v>142</v>
      </c>
      <c r="G454" s="4" t="s">
        <v>14</v>
      </c>
      <c r="H454" s="4" t="s">
        <v>46</v>
      </c>
      <c r="I454" s="7" t="n">
        <v>2017</v>
      </c>
      <c r="J454" s="7" t="n">
        <v>2023</v>
      </c>
      <c r="K454" s="4" t="s">
        <v>3535</v>
      </c>
      <c r="L454" s="4" t="s">
        <v>3536</v>
      </c>
      <c r="M454" s="4" t="s">
        <v>245</v>
      </c>
      <c r="N454" s="4" t="s">
        <v>3537</v>
      </c>
      <c r="O454" s="4" t="s">
        <v>3538</v>
      </c>
      <c r="P454" s="4" t="s">
        <v>52</v>
      </c>
    </row>
    <row r="455" customFormat="false" ht="15" hidden="false" customHeight="false" outlineLevel="0" collapsed="false">
      <c r="A455" s="4" t="s">
        <v>3539</v>
      </c>
      <c r="B455" s="4" t="s">
        <v>3540</v>
      </c>
      <c r="C455" s="4" t="s">
        <v>3541</v>
      </c>
      <c r="D455" s="4" t="s">
        <v>66</v>
      </c>
      <c r="E455" s="9" t="n">
        <v>39272</v>
      </c>
      <c r="F455" s="4" t="s">
        <v>56</v>
      </c>
      <c r="G455" s="4" t="s">
        <v>14</v>
      </c>
      <c r="H455" s="4" t="s">
        <v>46</v>
      </c>
      <c r="I455" s="7" t="n">
        <v>2020</v>
      </c>
      <c r="J455" s="7" t="n">
        <v>2025</v>
      </c>
      <c r="K455" s="4" t="s">
        <v>3542</v>
      </c>
      <c r="L455" s="4" t="s">
        <v>3543</v>
      </c>
      <c r="M455" s="4" t="s">
        <v>3544</v>
      </c>
      <c r="N455" s="4" t="s">
        <v>3545</v>
      </c>
      <c r="O455" s="4" t="s">
        <v>3546</v>
      </c>
      <c r="P455" s="4" t="s">
        <v>73</v>
      </c>
    </row>
    <row r="456" customFormat="false" ht="15" hidden="false" customHeight="false" outlineLevel="0" collapsed="false">
      <c r="A456" s="4" t="s">
        <v>3547</v>
      </c>
      <c r="B456" s="4" t="s">
        <v>3548</v>
      </c>
      <c r="C456" s="4" t="s">
        <v>1612</v>
      </c>
      <c r="D456" s="4" t="s">
        <v>44</v>
      </c>
      <c r="E456" s="9" t="n">
        <v>38377</v>
      </c>
      <c r="F456" s="4" t="s">
        <v>56</v>
      </c>
      <c r="G456" s="4" t="s">
        <v>16</v>
      </c>
      <c r="H456" s="4" t="s">
        <v>67</v>
      </c>
      <c r="I456" s="7" t="n">
        <v>2018</v>
      </c>
      <c r="J456" s="7" t="n">
        <v>2024</v>
      </c>
      <c r="K456" s="4" t="s">
        <v>3549</v>
      </c>
      <c r="L456" s="4" t="s">
        <v>3550</v>
      </c>
      <c r="M456" s="4" t="s">
        <v>2845</v>
      </c>
      <c r="N456" s="4" t="s">
        <v>3551</v>
      </c>
      <c r="O456" s="4" t="s">
        <v>3552</v>
      </c>
      <c r="P456" s="4" t="s">
        <v>52</v>
      </c>
    </row>
    <row r="457" customFormat="false" ht="15" hidden="false" customHeight="false" outlineLevel="0" collapsed="false">
      <c r="A457" s="4" t="s">
        <v>3553</v>
      </c>
      <c r="B457" s="4" t="s">
        <v>3554</v>
      </c>
      <c r="C457" s="4" t="s">
        <v>3555</v>
      </c>
      <c r="D457" s="4" t="s">
        <v>44</v>
      </c>
      <c r="E457" s="9" t="n">
        <v>37996</v>
      </c>
      <c r="F457" s="4" t="s">
        <v>142</v>
      </c>
      <c r="G457" s="4" t="s">
        <v>14</v>
      </c>
      <c r="H457" s="4" t="s">
        <v>57</v>
      </c>
      <c r="I457" s="7" t="n">
        <v>2018</v>
      </c>
      <c r="J457" s="7" t="n">
        <v>2023</v>
      </c>
      <c r="K457" s="4" t="s">
        <v>3556</v>
      </c>
      <c r="L457" s="4" t="s">
        <v>3557</v>
      </c>
      <c r="M457" s="4" t="s">
        <v>3558</v>
      </c>
      <c r="N457" s="4" t="s">
        <v>3559</v>
      </c>
      <c r="O457" s="4" t="s">
        <v>3560</v>
      </c>
      <c r="P457" s="4" t="s">
        <v>52</v>
      </c>
    </row>
    <row r="458" customFormat="false" ht="15" hidden="false" customHeight="false" outlineLevel="0" collapsed="false">
      <c r="A458" s="4" t="s">
        <v>3561</v>
      </c>
      <c r="B458" s="4" t="s">
        <v>3562</v>
      </c>
      <c r="C458" s="4" t="s">
        <v>3563</v>
      </c>
      <c r="D458" s="4" t="s">
        <v>44</v>
      </c>
      <c r="E458" s="9" t="n">
        <v>38524</v>
      </c>
      <c r="F458" s="4" t="s">
        <v>142</v>
      </c>
      <c r="G458" s="4" t="s">
        <v>18</v>
      </c>
      <c r="H458" s="4" t="s">
        <v>67</v>
      </c>
      <c r="I458" s="7" t="n">
        <v>2019</v>
      </c>
      <c r="J458" s="7" t="n">
        <v>2024</v>
      </c>
      <c r="K458" s="4" t="s">
        <v>3564</v>
      </c>
      <c r="L458" s="4" t="s">
        <v>3565</v>
      </c>
      <c r="M458" s="4" t="s">
        <v>3566</v>
      </c>
      <c r="N458" s="4" t="s">
        <v>3567</v>
      </c>
      <c r="O458" s="4" t="s">
        <v>3568</v>
      </c>
      <c r="P458" s="4" t="s">
        <v>52</v>
      </c>
    </row>
    <row r="459" customFormat="false" ht="15" hidden="false" customHeight="false" outlineLevel="0" collapsed="false">
      <c r="A459" s="4" t="s">
        <v>3569</v>
      </c>
      <c r="B459" s="4" t="s">
        <v>3570</v>
      </c>
      <c r="C459" s="4" t="s">
        <v>3571</v>
      </c>
      <c r="D459" s="4" t="s">
        <v>44</v>
      </c>
      <c r="E459" s="9" t="n">
        <v>38782</v>
      </c>
      <c r="F459" s="4" t="s">
        <v>56</v>
      </c>
      <c r="G459" s="4" t="s">
        <v>15</v>
      </c>
      <c r="H459" s="4" t="s">
        <v>57</v>
      </c>
      <c r="I459" s="7" t="n">
        <v>2020</v>
      </c>
      <c r="J459" s="7" t="n">
        <v>2025</v>
      </c>
      <c r="K459" s="4" t="s">
        <v>3572</v>
      </c>
      <c r="L459" s="4" t="s">
        <v>3573</v>
      </c>
      <c r="M459" s="4" t="s">
        <v>3574</v>
      </c>
      <c r="N459" s="4" t="s">
        <v>3575</v>
      </c>
      <c r="O459" s="4" t="s">
        <v>3576</v>
      </c>
      <c r="P459" s="4" t="s">
        <v>73</v>
      </c>
    </row>
    <row r="460" customFormat="false" ht="15" hidden="false" customHeight="false" outlineLevel="0" collapsed="false">
      <c r="A460" s="4" t="s">
        <v>3577</v>
      </c>
      <c r="B460" s="4" t="s">
        <v>3578</v>
      </c>
      <c r="C460" s="4" t="s">
        <v>599</v>
      </c>
      <c r="D460" s="4" t="s">
        <v>66</v>
      </c>
      <c r="E460" s="9" t="n">
        <v>37690</v>
      </c>
      <c r="F460" s="4" t="s">
        <v>142</v>
      </c>
      <c r="G460" s="4" t="s">
        <v>18</v>
      </c>
      <c r="H460" s="4" t="s">
        <v>57</v>
      </c>
      <c r="I460" s="7" t="n">
        <v>2017</v>
      </c>
      <c r="J460" s="7" t="n">
        <v>2022</v>
      </c>
      <c r="K460" s="4" t="s">
        <v>3579</v>
      </c>
      <c r="L460" s="4" t="s">
        <v>3580</v>
      </c>
      <c r="M460" s="4" t="s">
        <v>3581</v>
      </c>
      <c r="N460" s="4" t="s">
        <v>3582</v>
      </c>
      <c r="O460" s="4" t="s">
        <v>3583</v>
      </c>
      <c r="P460" s="4" t="s">
        <v>52</v>
      </c>
    </row>
    <row r="461" customFormat="false" ht="15" hidden="false" customHeight="false" outlineLevel="0" collapsed="false">
      <c r="A461" s="4" t="s">
        <v>3584</v>
      </c>
      <c r="B461" s="4" t="s">
        <v>3585</v>
      </c>
      <c r="C461" s="4" t="s">
        <v>3586</v>
      </c>
      <c r="D461" s="4" t="s">
        <v>44</v>
      </c>
      <c r="E461" s="9" t="n">
        <v>39389</v>
      </c>
      <c r="F461" s="4" t="s">
        <v>45</v>
      </c>
      <c r="G461" s="4" t="s">
        <v>15</v>
      </c>
      <c r="H461" s="4" t="s">
        <v>57</v>
      </c>
      <c r="I461" s="7" t="n">
        <v>2020</v>
      </c>
      <c r="J461" s="7" t="n">
        <v>2025</v>
      </c>
      <c r="K461" s="4" t="s">
        <v>3587</v>
      </c>
      <c r="L461" s="4" t="s">
        <v>3588</v>
      </c>
      <c r="M461" s="4" t="s">
        <v>3589</v>
      </c>
      <c r="N461" s="4" t="s">
        <v>3590</v>
      </c>
      <c r="O461" s="4" t="s">
        <v>3591</v>
      </c>
      <c r="P461" s="4" t="s">
        <v>52</v>
      </c>
    </row>
    <row r="462" customFormat="false" ht="15" hidden="false" customHeight="false" outlineLevel="0" collapsed="false">
      <c r="A462" s="4" t="s">
        <v>3592</v>
      </c>
      <c r="B462" s="4" t="s">
        <v>3593</v>
      </c>
      <c r="C462" s="4" t="s">
        <v>3594</v>
      </c>
      <c r="D462" s="4" t="s">
        <v>66</v>
      </c>
      <c r="E462" s="9" t="n">
        <v>38142</v>
      </c>
      <c r="F462" s="4" t="s">
        <v>77</v>
      </c>
      <c r="G462" s="4" t="s">
        <v>16</v>
      </c>
      <c r="H462" s="4" t="s">
        <v>67</v>
      </c>
      <c r="I462" s="7" t="n">
        <v>2017</v>
      </c>
      <c r="J462" s="7" t="n">
        <v>2023</v>
      </c>
      <c r="K462" s="4" t="s">
        <v>3595</v>
      </c>
      <c r="L462" s="4" t="s">
        <v>3596</v>
      </c>
      <c r="M462" s="4" t="s">
        <v>3597</v>
      </c>
      <c r="N462" s="4" t="s">
        <v>3598</v>
      </c>
      <c r="O462" s="4" t="s">
        <v>3599</v>
      </c>
      <c r="P462" s="4" t="s">
        <v>52</v>
      </c>
    </row>
    <row r="463" customFormat="false" ht="15" hidden="false" customHeight="false" outlineLevel="0" collapsed="false">
      <c r="A463" s="4" t="s">
        <v>3600</v>
      </c>
      <c r="B463" s="4" t="s">
        <v>717</v>
      </c>
      <c r="C463" s="4" t="s">
        <v>3601</v>
      </c>
      <c r="D463" s="4" t="s">
        <v>44</v>
      </c>
      <c r="E463" s="9" t="n">
        <v>39272</v>
      </c>
      <c r="F463" s="4" t="s">
        <v>56</v>
      </c>
      <c r="G463" s="4" t="s">
        <v>16</v>
      </c>
      <c r="H463" s="4" t="s">
        <v>57</v>
      </c>
      <c r="I463" s="7" t="n">
        <v>2020</v>
      </c>
      <c r="J463" s="7" t="n">
        <v>2025</v>
      </c>
      <c r="K463" s="4" t="s">
        <v>3602</v>
      </c>
      <c r="L463" s="4" t="s">
        <v>3603</v>
      </c>
      <c r="M463" s="4" t="s">
        <v>3604</v>
      </c>
      <c r="N463" s="4" t="s">
        <v>3605</v>
      </c>
      <c r="O463" s="4" t="s">
        <v>3606</v>
      </c>
      <c r="P463" s="4" t="s">
        <v>73</v>
      </c>
    </row>
    <row r="464" customFormat="false" ht="15" hidden="false" customHeight="false" outlineLevel="0" collapsed="false">
      <c r="A464" s="4" t="s">
        <v>3607</v>
      </c>
      <c r="B464" s="4" t="s">
        <v>3608</v>
      </c>
      <c r="C464" s="4" t="s">
        <v>3609</v>
      </c>
      <c r="D464" s="4" t="s">
        <v>66</v>
      </c>
      <c r="E464" s="9" t="n">
        <v>38737</v>
      </c>
      <c r="F464" s="4" t="s">
        <v>142</v>
      </c>
      <c r="G464" s="4" t="s">
        <v>14</v>
      </c>
      <c r="H464" s="4" t="s">
        <v>67</v>
      </c>
      <c r="I464" s="7" t="n">
        <v>2019</v>
      </c>
      <c r="J464" s="7" t="n">
        <v>2025</v>
      </c>
      <c r="K464" s="4" t="s">
        <v>3610</v>
      </c>
      <c r="L464" s="4" t="s">
        <v>3611</v>
      </c>
      <c r="M464" s="4" t="s">
        <v>3108</v>
      </c>
      <c r="N464" s="4" t="s">
        <v>3612</v>
      </c>
      <c r="O464" s="4" t="s">
        <v>3613</v>
      </c>
      <c r="P464" s="4" t="s">
        <v>52</v>
      </c>
    </row>
    <row r="465" customFormat="false" ht="15" hidden="false" customHeight="false" outlineLevel="0" collapsed="false">
      <c r="A465" s="4" t="s">
        <v>3614</v>
      </c>
      <c r="B465" s="4" t="s">
        <v>3615</v>
      </c>
      <c r="C465" s="4" t="s">
        <v>3616</v>
      </c>
      <c r="D465" s="4" t="s">
        <v>44</v>
      </c>
      <c r="E465" s="9" t="n">
        <v>38405</v>
      </c>
      <c r="F465" s="4" t="s">
        <v>142</v>
      </c>
      <c r="G465" s="4" t="s">
        <v>17</v>
      </c>
      <c r="H465" s="4" t="s">
        <v>46</v>
      </c>
      <c r="I465" s="7" t="n">
        <v>2017</v>
      </c>
      <c r="J465" s="7" t="n">
        <v>2023</v>
      </c>
      <c r="K465" s="4" t="s">
        <v>3617</v>
      </c>
      <c r="L465" s="4" t="s">
        <v>3618</v>
      </c>
      <c r="M465" s="4" t="s">
        <v>3619</v>
      </c>
      <c r="N465" s="4" t="s">
        <v>3620</v>
      </c>
      <c r="O465" s="4" t="s">
        <v>3621</v>
      </c>
      <c r="P465" s="4" t="s">
        <v>52</v>
      </c>
    </row>
    <row r="466" customFormat="false" ht="15" hidden="false" customHeight="false" outlineLevel="0" collapsed="false">
      <c r="A466" s="4" t="s">
        <v>3622</v>
      </c>
      <c r="B466" s="4" t="s">
        <v>3623</v>
      </c>
      <c r="C466" s="4" t="s">
        <v>3477</v>
      </c>
      <c r="D466" s="4" t="s">
        <v>44</v>
      </c>
      <c r="E466" s="9" t="n">
        <v>39034</v>
      </c>
      <c r="F466" s="4" t="s">
        <v>45</v>
      </c>
      <c r="G466" s="4" t="s">
        <v>18</v>
      </c>
      <c r="H466" s="4" t="s">
        <v>46</v>
      </c>
      <c r="I466" s="7" t="n">
        <v>2018</v>
      </c>
      <c r="J466" s="7" t="n">
        <v>2024</v>
      </c>
      <c r="K466" s="4" t="s">
        <v>3624</v>
      </c>
      <c r="L466" s="4" t="s">
        <v>3625</v>
      </c>
      <c r="M466" s="4" t="s">
        <v>3626</v>
      </c>
      <c r="N466" s="4" t="s">
        <v>3627</v>
      </c>
      <c r="O466" s="4" t="s">
        <v>3628</v>
      </c>
      <c r="P466" s="4" t="s">
        <v>52</v>
      </c>
    </row>
    <row r="467" customFormat="false" ht="15" hidden="false" customHeight="false" outlineLevel="0" collapsed="false">
      <c r="A467" s="4" t="s">
        <v>3629</v>
      </c>
      <c r="B467" s="4" t="s">
        <v>3630</v>
      </c>
      <c r="C467" s="4" t="s">
        <v>3631</v>
      </c>
      <c r="D467" s="4" t="s">
        <v>44</v>
      </c>
      <c r="E467" s="9" t="n">
        <v>38824</v>
      </c>
      <c r="F467" s="4" t="s">
        <v>45</v>
      </c>
      <c r="G467" s="4" t="s">
        <v>14</v>
      </c>
      <c r="H467" s="4" t="s">
        <v>57</v>
      </c>
      <c r="I467" s="7" t="n">
        <v>2018</v>
      </c>
      <c r="J467" s="7" t="n">
        <v>2024</v>
      </c>
      <c r="K467" s="4" t="s">
        <v>3632</v>
      </c>
      <c r="L467" s="4" t="s">
        <v>3633</v>
      </c>
      <c r="M467" s="4" t="s">
        <v>3634</v>
      </c>
      <c r="N467" s="4" t="s">
        <v>3635</v>
      </c>
      <c r="O467" s="4" t="s">
        <v>3636</v>
      </c>
      <c r="P467" s="4" t="s">
        <v>52</v>
      </c>
    </row>
    <row r="468" customFormat="false" ht="15" hidden="false" customHeight="false" outlineLevel="0" collapsed="false">
      <c r="A468" s="4" t="s">
        <v>3637</v>
      </c>
      <c r="B468" s="4" t="s">
        <v>3638</v>
      </c>
      <c r="C468" s="4" t="s">
        <v>3639</v>
      </c>
      <c r="D468" s="4" t="s">
        <v>66</v>
      </c>
      <c r="E468" s="9" t="n">
        <v>38362</v>
      </c>
      <c r="F468" s="4" t="s">
        <v>142</v>
      </c>
      <c r="G468" s="4" t="s">
        <v>16</v>
      </c>
      <c r="H468" s="4" t="s">
        <v>67</v>
      </c>
      <c r="I468" s="7" t="n">
        <v>2017</v>
      </c>
      <c r="J468" s="7" t="n">
        <v>2023</v>
      </c>
      <c r="K468" s="4" t="s">
        <v>3640</v>
      </c>
      <c r="L468" s="4" t="s">
        <v>3641</v>
      </c>
      <c r="M468" s="4" t="s">
        <v>1099</v>
      </c>
      <c r="N468" s="4" t="s">
        <v>3642</v>
      </c>
      <c r="O468" s="4" t="s">
        <v>3643</v>
      </c>
      <c r="P468" s="4" t="s">
        <v>52</v>
      </c>
    </row>
    <row r="469" customFormat="false" ht="15" hidden="false" customHeight="false" outlineLevel="0" collapsed="false">
      <c r="A469" s="4" t="s">
        <v>3644</v>
      </c>
      <c r="B469" s="4" t="s">
        <v>3645</v>
      </c>
      <c r="C469" s="4" t="s">
        <v>766</v>
      </c>
      <c r="D469" s="4" t="s">
        <v>66</v>
      </c>
      <c r="E469" s="9" t="n">
        <v>38742</v>
      </c>
      <c r="F469" s="4" t="s">
        <v>142</v>
      </c>
      <c r="G469" s="4" t="s">
        <v>14</v>
      </c>
      <c r="H469" s="4" t="s">
        <v>46</v>
      </c>
      <c r="I469" s="7" t="n">
        <v>2019</v>
      </c>
      <c r="J469" s="7" t="n">
        <v>2025</v>
      </c>
      <c r="K469" s="4" t="s">
        <v>3646</v>
      </c>
      <c r="L469" s="4" t="s">
        <v>3647</v>
      </c>
      <c r="M469" s="4" t="s">
        <v>3648</v>
      </c>
      <c r="N469" s="4" t="s">
        <v>3649</v>
      </c>
      <c r="O469" s="4" t="s">
        <v>3650</v>
      </c>
      <c r="P469" s="4" t="s">
        <v>52</v>
      </c>
    </row>
    <row r="470" customFormat="false" ht="15" hidden="false" customHeight="false" outlineLevel="0" collapsed="false">
      <c r="A470" s="4" t="s">
        <v>3651</v>
      </c>
      <c r="B470" s="4" t="s">
        <v>3652</v>
      </c>
      <c r="C470" s="4" t="s">
        <v>426</v>
      </c>
      <c r="D470" s="4" t="s">
        <v>66</v>
      </c>
      <c r="E470" s="9" t="n">
        <v>38826</v>
      </c>
      <c r="F470" s="4" t="s">
        <v>77</v>
      </c>
      <c r="G470" s="4" t="s">
        <v>15</v>
      </c>
      <c r="H470" s="4" t="s">
        <v>46</v>
      </c>
      <c r="I470" s="7" t="n">
        <v>2018</v>
      </c>
      <c r="J470" s="7" t="n">
        <v>2024</v>
      </c>
      <c r="K470" s="4" t="s">
        <v>3653</v>
      </c>
      <c r="L470" s="4" t="s">
        <v>3654</v>
      </c>
      <c r="M470" s="4" t="s">
        <v>3655</v>
      </c>
      <c r="N470" s="4" t="s">
        <v>3656</v>
      </c>
      <c r="O470" s="4" t="s">
        <v>3657</v>
      </c>
      <c r="P470" s="4" t="s">
        <v>52</v>
      </c>
    </row>
    <row r="471" customFormat="false" ht="15" hidden="false" customHeight="false" outlineLevel="0" collapsed="false">
      <c r="A471" s="4" t="s">
        <v>3658</v>
      </c>
      <c r="B471" s="4" t="s">
        <v>3659</v>
      </c>
      <c r="C471" s="4" t="s">
        <v>3660</v>
      </c>
      <c r="D471" s="4" t="s">
        <v>44</v>
      </c>
      <c r="E471" s="9" t="n">
        <v>37836</v>
      </c>
      <c r="F471" s="4" t="s">
        <v>45</v>
      </c>
      <c r="G471" s="4" t="s">
        <v>18</v>
      </c>
      <c r="H471" s="4" t="s">
        <v>46</v>
      </c>
      <c r="I471" s="7" t="n">
        <v>2016</v>
      </c>
      <c r="J471" s="7" t="n">
        <v>2022</v>
      </c>
      <c r="K471" s="4" t="s">
        <v>3661</v>
      </c>
      <c r="L471" s="4" t="s">
        <v>3662</v>
      </c>
      <c r="M471" s="4" t="s">
        <v>3663</v>
      </c>
      <c r="N471" s="4" t="s">
        <v>3664</v>
      </c>
      <c r="O471" s="4" t="s">
        <v>3665</v>
      </c>
      <c r="P471" s="4" t="s">
        <v>52</v>
      </c>
    </row>
    <row r="472" customFormat="false" ht="15" hidden="false" customHeight="false" outlineLevel="0" collapsed="false">
      <c r="A472" s="4" t="s">
        <v>3666</v>
      </c>
      <c r="B472" s="4" t="s">
        <v>3667</v>
      </c>
      <c r="C472" s="4" t="s">
        <v>3180</v>
      </c>
      <c r="D472" s="4" t="s">
        <v>66</v>
      </c>
      <c r="E472" s="9" t="n">
        <v>37857</v>
      </c>
      <c r="F472" s="4" t="s">
        <v>45</v>
      </c>
      <c r="G472" s="4" t="s">
        <v>15</v>
      </c>
      <c r="H472" s="4" t="s">
        <v>46</v>
      </c>
      <c r="I472" s="7" t="n">
        <v>2017</v>
      </c>
      <c r="J472" s="7" t="n">
        <v>2022</v>
      </c>
      <c r="K472" s="4" t="s">
        <v>3668</v>
      </c>
      <c r="L472" s="4" t="s">
        <v>3669</v>
      </c>
      <c r="M472" s="4" t="s">
        <v>3670</v>
      </c>
      <c r="N472" s="4" t="s">
        <v>3671</v>
      </c>
      <c r="O472" s="4" t="s">
        <v>3672</v>
      </c>
      <c r="P472" s="4" t="s">
        <v>52</v>
      </c>
    </row>
    <row r="473" customFormat="false" ht="15" hidden="false" customHeight="false" outlineLevel="0" collapsed="false">
      <c r="A473" s="4" t="s">
        <v>3673</v>
      </c>
      <c r="B473" s="4" t="s">
        <v>3674</v>
      </c>
      <c r="C473" s="4" t="s">
        <v>3675</v>
      </c>
      <c r="D473" s="4" t="s">
        <v>44</v>
      </c>
      <c r="E473" s="9" t="n">
        <v>38538</v>
      </c>
      <c r="F473" s="4" t="s">
        <v>77</v>
      </c>
      <c r="G473" s="4" t="s">
        <v>18</v>
      </c>
      <c r="H473" s="4" t="s">
        <v>78</v>
      </c>
      <c r="I473" s="7" t="n">
        <v>2019</v>
      </c>
      <c r="J473" s="7" t="n">
        <v>2024</v>
      </c>
      <c r="K473" s="4" t="s">
        <v>3676</v>
      </c>
      <c r="L473" s="4" t="s">
        <v>3677</v>
      </c>
      <c r="M473" s="4" t="s">
        <v>2273</v>
      </c>
      <c r="N473" s="4" t="s">
        <v>3678</v>
      </c>
      <c r="O473" s="4" t="s">
        <v>3679</v>
      </c>
      <c r="P473" s="4" t="s">
        <v>52</v>
      </c>
    </row>
    <row r="474" customFormat="false" ht="15" hidden="false" customHeight="false" outlineLevel="0" collapsed="false">
      <c r="A474" s="4" t="s">
        <v>3680</v>
      </c>
      <c r="B474" s="4" t="s">
        <v>3681</v>
      </c>
      <c r="C474" s="4" t="s">
        <v>3682</v>
      </c>
      <c r="D474" s="4" t="s">
        <v>44</v>
      </c>
      <c r="E474" s="9" t="n">
        <v>38931</v>
      </c>
      <c r="F474" s="4" t="s">
        <v>56</v>
      </c>
      <c r="G474" s="4" t="s">
        <v>15</v>
      </c>
      <c r="H474" s="4" t="s">
        <v>78</v>
      </c>
      <c r="I474" s="7" t="n">
        <v>2020</v>
      </c>
      <c r="J474" s="7" t="n">
        <v>2025</v>
      </c>
      <c r="K474" s="4" t="s">
        <v>3683</v>
      </c>
      <c r="L474" s="4" t="s">
        <v>3684</v>
      </c>
      <c r="M474" s="4" t="s">
        <v>2735</v>
      </c>
      <c r="N474" s="4" t="s">
        <v>3685</v>
      </c>
      <c r="O474" s="4" t="s">
        <v>3686</v>
      </c>
      <c r="P474" s="4" t="s">
        <v>73</v>
      </c>
    </row>
    <row r="475" customFormat="false" ht="15" hidden="false" customHeight="false" outlineLevel="0" collapsed="false">
      <c r="A475" s="4" t="s">
        <v>3687</v>
      </c>
      <c r="B475" s="4" t="s">
        <v>3688</v>
      </c>
      <c r="C475" s="4" t="s">
        <v>3689</v>
      </c>
      <c r="D475" s="4" t="s">
        <v>66</v>
      </c>
      <c r="E475" s="9" t="n">
        <v>37384</v>
      </c>
      <c r="F475" s="4" t="s">
        <v>56</v>
      </c>
      <c r="G475" s="4" t="s">
        <v>14</v>
      </c>
      <c r="H475" s="4" t="s">
        <v>67</v>
      </c>
      <c r="I475" s="7" t="n">
        <v>2015</v>
      </c>
      <c r="J475" s="7" t="n">
        <v>2021</v>
      </c>
      <c r="K475" s="4" t="s">
        <v>3690</v>
      </c>
      <c r="L475" s="4" t="s">
        <v>3691</v>
      </c>
      <c r="M475" s="4" t="s">
        <v>3692</v>
      </c>
      <c r="N475" s="4" t="s">
        <v>3693</v>
      </c>
      <c r="O475" s="4" t="s">
        <v>3694</v>
      </c>
      <c r="P475" s="4" t="s">
        <v>52</v>
      </c>
    </row>
    <row r="476" customFormat="false" ht="15" hidden="false" customHeight="false" outlineLevel="0" collapsed="false">
      <c r="A476" s="4" t="s">
        <v>3695</v>
      </c>
      <c r="B476" s="4" t="s">
        <v>3696</v>
      </c>
      <c r="C476" s="4" t="s">
        <v>3697</v>
      </c>
      <c r="D476" s="4" t="s">
        <v>66</v>
      </c>
      <c r="E476" s="9" t="n">
        <v>37700</v>
      </c>
      <c r="F476" s="4" t="s">
        <v>142</v>
      </c>
      <c r="G476" s="4" t="s">
        <v>14</v>
      </c>
      <c r="H476" s="4" t="s">
        <v>57</v>
      </c>
      <c r="I476" s="7" t="n">
        <v>2015</v>
      </c>
      <c r="J476" s="7" t="n">
        <v>2021</v>
      </c>
      <c r="K476" s="4" t="s">
        <v>3698</v>
      </c>
      <c r="L476" s="4" t="s">
        <v>3699</v>
      </c>
      <c r="M476" s="4" t="s">
        <v>3450</v>
      </c>
      <c r="N476" s="4" t="s">
        <v>3700</v>
      </c>
      <c r="O476" s="4" t="s">
        <v>3701</v>
      </c>
      <c r="P476" s="4" t="s">
        <v>52</v>
      </c>
    </row>
    <row r="477" customFormat="false" ht="15" hidden="false" customHeight="false" outlineLevel="0" collapsed="false">
      <c r="A477" s="4" t="s">
        <v>3702</v>
      </c>
      <c r="B477" s="4" t="s">
        <v>3703</v>
      </c>
      <c r="C477" s="4" t="s">
        <v>3704</v>
      </c>
      <c r="D477" s="4" t="s">
        <v>66</v>
      </c>
      <c r="E477" s="9" t="n">
        <v>37921</v>
      </c>
      <c r="F477" s="4" t="s">
        <v>77</v>
      </c>
      <c r="G477" s="4" t="s">
        <v>15</v>
      </c>
      <c r="H477" s="4" t="s">
        <v>67</v>
      </c>
      <c r="I477" s="7" t="n">
        <v>2016</v>
      </c>
      <c r="J477" s="7" t="n">
        <v>2021</v>
      </c>
      <c r="K477" s="4" t="s">
        <v>3705</v>
      </c>
      <c r="L477" s="4" t="s">
        <v>3706</v>
      </c>
      <c r="M477" s="4" t="s">
        <v>3707</v>
      </c>
      <c r="N477" s="4" t="s">
        <v>3708</v>
      </c>
      <c r="O477" s="4" t="s">
        <v>3709</v>
      </c>
      <c r="P477" s="4" t="s">
        <v>52</v>
      </c>
    </row>
    <row r="478" customFormat="false" ht="15" hidden="false" customHeight="false" outlineLevel="0" collapsed="false">
      <c r="A478" s="4" t="s">
        <v>3710</v>
      </c>
      <c r="B478" s="4" t="s">
        <v>3711</v>
      </c>
      <c r="C478" s="4" t="s">
        <v>3712</v>
      </c>
      <c r="D478" s="4" t="s">
        <v>66</v>
      </c>
      <c r="E478" s="9" t="n">
        <v>37357</v>
      </c>
      <c r="F478" s="4" t="s">
        <v>142</v>
      </c>
      <c r="G478" s="4" t="s">
        <v>16</v>
      </c>
      <c r="H478" s="4" t="s">
        <v>46</v>
      </c>
      <c r="I478" s="7" t="n">
        <v>2016</v>
      </c>
      <c r="J478" s="7" t="n">
        <v>2021</v>
      </c>
      <c r="K478" s="4" t="s">
        <v>3713</v>
      </c>
      <c r="L478" s="4" t="s">
        <v>3714</v>
      </c>
      <c r="M478" s="4" t="s">
        <v>3715</v>
      </c>
      <c r="N478" s="4" t="s">
        <v>3716</v>
      </c>
      <c r="O478" s="4" t="s">
        <v>3717</v>
      </c>
      <c r="P478" s="4" t="s">
        <v>52</v>
      </c>
    </row>
    <row r="479" customFormat="false" ht="15" hidden="false" customHeight="false" outlineLevel="0" collapsed="false">
      <c r="A479" s="4" t="s">
        <v>3718</v>
      </c>
      <c r="B479" s="4" t="s">
        <v>3719</v>
      </c>
      <c r="C479" s="4" t="s">
        <v>3720</v>
      </c>
      <c r="D479" s="4" t="s">
        <v>44</v>
      </c>
      <c r="E479" s="9" t="n">
        <v>38327</v>
      </c>
      <c r="F479" s="4" t="s">
        <v>77</v>
      </c>
      <c r="G479" s="4" t="s">
        <v>18</v>
      </c>
      <c r="H479" s="4" t="s">
        <v>46</v>
      </c>
      <c r="I479" s="7" t="n">
        <v>2017</v>
      </c>
      <c r="J479" s="7" t="n">
        <v>2023</v>
      </c>
      <c r="K479" s="4" t="s">
        <v>3721</v>
      </c>
      <c r="L479" s="4" t="s">
        <v>3722</v>
      </c>
      <c r="M479" s="4" t="s">
        <v>3723</v>
      </c>
      <c r="N479" s="4" t="s">
        <v>3724</v>
      </c>
      <c r="O479" s="4" t="s">
        <v>3725</v>
      </c>
      <c r="P479" s="4" t="s">
        <v>52</v>
      </c>
    </row>
    <row r="480" customFormat="false" ht="15" hidden="false" customHeight="false" outlineLevel="0" collapsed="false">
      <c r="A480" s="4" t="s">
        <v>3726</v>
      </c>
      <c r="B480" s="4" t="s">
        <v>3727</v>
      </c>
      <c r="C480" s="4" t="s">
        <v>3524</v>
      </c>
      <c r="D480" s="4" t="s">
        <v>66</v>
      </c>
      <c r="E480" s="9" t="n">
        <v>38534</v>
      </c>
      <c r="F480" s="4" t="s">
        <v>142</v>
      </c>
      <c r="G480" s="4" t="s">
        <v>18</v>
      </c>
      <c r="H480" s="4" t="s">
        <v>57</v>
      </c>
      <c r="I480" s="7" t="n">
        <v>2017</v>
      </c>
      <c r="J480" s="7" t="n">
        <v>2023</v>
      </c>
      <c r="K480" s="4" t="s">
        <v>3728</v>
      </c>
      <c r="L480" s="4" t="s">
        <v>3729</v>
      </c>
      <c r="M480" s="4" t="s">
        <v>3730</v>
      </c>
      <c r="N480" s="4" t="s">
        <v>3731</v>
      </c>
      <c r="O480" s="4" t="s">
        <v>3732</v>
      </c>
      <c r="P480" s="4" t="s">
        <v>52</v>
      </c>
    </row>
    <row r="481" customFormat="false" ht="15" hidden="false" customHeight="false" outlineLevel="0" collapsed="false">
      <c r="A481" s="4" t="s">
        <v>3733</v>
      </c>
      <c r="B481" s="4" t="s">
        <v>3734</v>
      </c>
      <c r="C481" s="4" t="s">
        <v>3735</v>
      </c>
      <c r="D481" s="4" t="s">
        <v>66</v>
      </c>
      <c r="E481" s="9" t="n">
        <v>38900</v>
      </c>
      <c r="F481" s="4" t="s">
        <v>45</v>
      </c>
      <c r="G481" s="4" t="s">
        <v>15</v>
      </c>
      <c r="H481" s="4" t="s">
        <v>78</v>
      </c>
      <c r="I481" s="7" t="n">
        <v>2019</v>
      </c>
      <c r="J481" s="7" t="n">
        <v>2025</v>
      </c>
      <c r="K481" s="4" t="s">
        <v>3736</v>
      </c>
      <c r="L481" s="4" t="s">
        <v>3737</v>
      </c>
      <c r="M481" s="4" t="s">
        <v>3682</v>
      </c>
      <c r="N481" s="4" t="s">
        <v>3738</v>
      </c>
      <c r="O481" s="4" t="s">
        <v>3739</v>
      </c>
      <c r="P481" s="4" t="s">
        <v>52</v>
      </c>
    </row>
    <row r="482" customFormat="false" ht="15" hidden="false" customHeight="false" outlineLevel="0" collapsed="false">
      <c r="A482" s="4" t="s">
        <v>3740</v>
      </c>
      <c r="B482" s="4" t="s">
        <v>3741</v>
      </c>
      <c r="C482" s="4" t="s">
        <v>3742</v>
      </c>
      <c r="D482" s="4" t="s">
        <v>44</v>
      </c>
      <c r="E482" s="9" t="n">
        <v>38283</v>
      </c>
      <c r="F482" s="4" t="s">
        <v>142</v>
      </c>
      <c r="G482" s="4" t="s">
        <v>18</v>
      </c>
      <c r="H482" s="4" t="s">
        <v>78</v>
      </c>
      <c r="I482" s="7" t="n">
        <v>2017</v>
      </c>
      <c r="J482" s="7" t="n">
        <v>2023</v>
      </c>
      <c r="K482" s="4" t="s">
        <v>3743</v>
      </c>
      <c r="L482" s="4" t="s">
        <v>3744</v>
      </c>
      <c r="M482" s="4" t="s">
        <v>3745</v>
      </c>
      <c r="N482" s="4" t="s">
        <v>3746</v>
      </c>
      <c r="O482" s="4" t="s">
        <v>3747</v>
      </c>
      <c r="P482" s="4" t="s">
        <v>52</v>
      </c>
    </row>
    <row r="483" customFormat="false" ht="15" hidden="false" customHeight="false" outlineLevel="0" collapsed="false">
      <c r="A483" s="4" t="s">
        <v>3748</v>
      </c>
      <c r="B483" s="4" t="s">
        <v>3749</v>
      </c>
      <c r="C483" s="4" t="s">
        <v>3750</v>
      </c>
      <c r="D483" s="4" t="s">
        <v>66</v>
      </c>
      <c r="E483" s="9" t="n">
        <v>37588</v>
      </c>
      <c r="F483" s="4" t="s">
        <v>45</v>
      </c>
      <c r="G483" s="4" t="s">
        <v>15</v>
      </c>
      <c r="H483" s="4" t="s">
        <v>67</v>
      </c>
      <c r="I483" s="7" t="n">
        <v>2016</v>
      </c>
      <c r="J483" s="7" t="n">
        <v>2021</v>
      </c>
      <c r="K483" s="4" t="s">
        <v>3751</v>
      </c>
      <c r="L483" s="4" t="s">
        <v>3752</v>
      </c>
      <c r="M483" s="4" t="s">
        <v>2034</v>
      </c>
      <c r="N483" s="4" t="s">
        <v>3753</v>
      </c>
      <c r="O483" s="4" t="s">
        <v>3754</v>
      </c>
      <c r="P483" s="4" t="s">
        <v>52</v>
      </c>
    </row>
    <row r="484" customFormat="false" ht="15" hidden="false" customHeight="false" outlineLevel="0" collapsed="false">
      <c r="A484" s="4" t="s">
        <v>3755</v>
      </c>
      <c r="B484" s="4" t="s">
        <v>3756</v>
      </c>
      <c r="C484" s="4" t="s">
        <v>3281</v>
      </c>
      <c r="D484" s="4" t="s">
        <v>66</v>
      </c>
      <c r="E484" s="9" t="n">
        <v>38539</v>
      </c>
      <c r="F484" s="4" t="s">
        <v>142</v>
      </c>
      <c r="G484" s="4" t="s">
        <v>16</v>
      </c>
      <c r="H484" s="4" t="s">
        <v>67</v>
      </c>
      <c r="I484" s="7" t="n">
        <v>2019</v>
      </c>
      <c r="J484" s="7" t="n">
        <v>2024</v>
      </c>
      <c r="K484" s="4" t="s">
        <v>3757</v>
      </c>
      <c r="L484" s="4" t="s">
        <v>3758</v>
      </c>
      <c r="M484" s="4" t="s">
        <v>3759</v>
      </c>
      <c r="N484" s="4" t="s">
        <v>3760</v>
      </c>
      <c r="O484" s="4" t="s">
        <v>3761</v>
      </c>
      <c r="P484" s="4" t="s">
        <v>52</v>
      </c>
    </row>
    <row r="485" customFormat="false" ht="15" hidden="false" customHeight="false" outlineLevel="0" collapsed="false">
      <c r="A485" s="4" t="s">
        <v>3762</v>
      </c>
      <c r="B485" s="4" t="s">
        <v>3763</v>
      </c>
      <c r="C485" s="4" t="s">
        <v>3764</v>
      </c>
      <c r="D485" s="4" t="s">
        <v>44</v>
      </c>
      <c r="E485" s="9" t="n">
        <v>38994</v>
      </c>
      <c r="F485" s="4" t="s">
        <v>77</v>
      </c>
      <c r="G485" s="4" t="s">
        <v>17</v>
      </c>
      <c r="H485" s="4" t="s">
        <v>67</v>
      </c>
      <c r="I485" s="7" t="n">
        <v>2020</v>
      </c>
      <c r="J485" s="7" t="n">
        <v>2025</v>
      </c>
      <c r="K485" s="4" t="s">
        <v>3765</v>
      </c>
      <c r="L485" s="4" t="s">
        <v>3766</v>
      </c>
      <c r="M485" s="4" t="s">
        <v>785</v>
      </c>
      <c r="N485" s="4" t="s">
        <v>3767</v>
      </c>
      <c r="O485" s="4" t="s">
        <v>3768</v>
      </c>
      <c r="P485" s="4" t="s">
        <v>52</v>
      </c>
    </row>
    <row r="486" customFormat="false" ht="15" hidden="false" customHeight="false" outlineLevel="0" collapsed="false">
      <c r="A486" s="4" t="s">
        <v>3769</v>
      </c>
      <c r="B486" s="4" t="s">
        <v>3770</v>
      </c>
      <c r="C486" s="4" t="s">
        <v>3771</v>
      </c>
      <c r="D486" s="4" t="s">
        <v>66</v>
      </c>
      <c r="E486" s="9" t="n">
        <v>38766</v>
      </c>
      <c r="F486" s="4" t="s">
        <v>142</v>
      </c>
      <c r="G486" s="4" t="s">
        <v>16</v>
      </c>
      <c r="H486" s="4" t="s">
        <v>78</v>
      </c>
      <c r="I486" s="7" t="n">
        <v>2020</v>
      </c>
      <c r="J486" s="7" t="n">
        <v>2025</v>
      </c>
      <c r="K486" s="4" t="s">
        <v>3772</v>
      </c>
      <c r="L486" s="4" t="s">
        <v>3773</v>
      </c>
      <c r="M486" s="4" t="s">
        <v>3774</v>
      </c>
      <c r="N486" s="4" t="s">
        <v>3775</v>
      </c>
      <c r="O486" s="4" t="s">
        <v>3776</v>
      </c>
      <c r="P486" s="4" t="s">
        <v>52</v>
      </c>
    </row>
    <row r="487" customFormat="false" ht="15" hidden="false" customHeight="false" outlineLevel="0" collapsed="false">
      <c r="A487" s="4" t="s">
        <v>3777</v>
      </c>
      <c r="B487" s="4" t="s">
        <v>3778</v>
      </c>
      <c r="C487" s="4" t="s">
        <v>3779</v>
      </c>
      <c r="D487" s="4" t="s">
        <v>44</v>
      </c>
      <c r="E487" s="9" t="n">
        <v>37358</v>
      </c>
      <c r="F487" s="4" t="s">
        <v>45</v>
      </c>
      <c r="G487" s="4" t="s">
        <v>16</v>
      </c>
      <c r="H487" s="4" t="s">
        <v>67</v>
      </c>
      <c r="I487" s="7" t="n">
        <v>2016</v>
      </c>
      <c r="J487" s="7" t="n">
        <v>2021</v>
      </c>
      <c r="K487" s="4" t="s">
        <v>3780</v>
      </c>
      <c r="L487" s="4" t="s">
        <v>3781</v>
      </c>
      <c r="M487" s="4" t="s">
        <v>3782</v>
      </c>
      <c r="N487" s="4" t="s">
        <v>3783</v>
      </c>
      <c r="O487" s="4" t="s">
        <v>3784</v>
      </c>
      <c r="P487" s="4" t="s">
        <v>52</v>
      </c>
    </row>
    <row r="488" customFormat="false" ht="15" hidden="false" customHeight="false" outlineLevel="0" collapsed="false">
      <c r="A488" s="4" t="s">
        <v>3785</v>
      </c>
      <c r="B488" s="4" t="s">
        <v>3786</v>
      </c>
      <c r="C488" s="4" t="s">
        <v>3787</v>
      </c>
      <c r="D488" s="4" t="s">
        <v>66</v>
      </c>
      <c r="E488" s="9" t="n">
        <v>38902</v>
      </c>
      <c r="F488" s="4" t="s">
        <v>142</v>
      </c>
      <c r="G488" s="4" t="s">
        <v>17</v>
      </c>
      <c r="H488" s="4" t="s">
        <v>78</v>
      </c>
      <c r="I488" s="7" t="n">
        <v>2019</v>
      </c>
      <c r="J488" s="7" t="n">
        <v>2024</v>
      </c>
      <c r="K488" s="4" t="s">
        <v>3788</v>
      </c>
      <c r="L488" s="4" t="s">
        <v>3789</v>
      </c>
      <c r="M488" s="4" t="s">
        <v>3790</v>
      </c>
      <c r="N488" s="4" t="s">
        <v>3791</v>
      </c>
      <c r="O488" s="4" t="s">
        <v>3792</v>
      </c>
      <c r="P488" s="4" t="s">
        <v>52</v>
      </c>
    </row>
    <row r="489" customFormat="false" ht="15" hidden="false" customHeight="false" outlineLevel="0" collapsed="false">
      <c r="A489" s="4" t="s">
        <v>3793</v>
      </c>
      <c r="B489" s="4" t="s">
        <v>3794</v>
      </c>
      <c r="C489" s="4" t="s">
        <v>639</v>
      </c>
      <c r="D489" s="4" t="s">
        <v>66</v>
      </c>
      <c r="E489" s="9" t="n">
        <v>37504</v>
      </c>
      <c r="F489" s="4" t="s">
        <v>142</v>
      </c>
      <c r="G489" s="4" t="s">
        <v>17</v>
      </c>
      <c r="H489" s="4" t="s">
        <v>46</v>
      </c>
      <c r="I489" s="7" t="n">
        <v>2015</v>
      </c>
      <c r="J489" s="7" t="n">
        <v>2021</v>
      </c>
      <c r="K489" s="4" t="s">
        <v>3795</v>
      </c>
      <c r="L489" s="4" t="s">
        <v>3796</v>
      </c>
      <c r="M489" s="4" t="s">
        <v>3797</v>
      </c>
      <c r="N489" s="4" t="s">
        <v>3798</v>
      </c>
      <c r="O489" s="4" t="s">
        <v>3799</v>
      </c>
      <c r="P489" s="4" t="s">
        <v>52</v>
      </c>
    </row>
    <row r="490" customFormat="false" ht="15" hidden="false" customHeight="false" outlineLevel="0" collapsed="false">
      <c r="A490" s="4" t="s">
        <v>3800</v>
      </c>
      <c r="B490" s="4" t="s">
        <v>3801</v>
      </c>
      <c r="C490" s="4" t="s">
        <v>3802</v>
      </c>
      <c r="D490" s="4" t="s">
        <v>66</v>
      </c>
      <c r="E490" s="9" t="n">
        <v>37764</v>
      </c>
      <c r="F490" s="4" t="s">
        <v>45</v>
      </c>
      <c r="G490" s="4" t="s">
        <v>17</v>
      </c>
      <c r="H490" s="4" t="s">
        <v>46</v>
      </c>
      <c r="I490" s="7" t="n">
        <v>2015</v>
      </c>
      <c r="J490" s="7" t="n">
        <v>2021</v>
      </c>
      <c r="K490" s="4" t="s">
        <v>3803</v>
      </c>
      <c r="L490" s="4" t="s">
        <v>3804</v>
      </c>
      <c r="M490" s="4" t="s">
        <v>3805</v>
      </c>
      <c r="N490" s="4" t="s">
        <v>3806</v>
      </c>
      <c r="O490" s="4" t="s">
        <v>3807</v>
      </c>
      <c r="P490" s="4" t="s">
        <v>52</v>
      </c>
    </row>
    <row r="491" customFormat="false" ht="15" hidden="false" customHeight="false" outlineLevel="0" collapsed="false">
      <c r="A491" s="4" t="s">
        <v>3808</v>
      </c>
      <c r="B491" s="4" t="s">
        <v>3809</v>
      </c>
      <c r="C491" s="4" t="s">
        <v>3810</v>
      </c>
      <c r="D491" s="4" t="s">
        <v>66</v>
      </c>
      <c r="E491" s="9" t="n">
        <v>39161</v>
      </c>
      <c r="F491" s="4" t="s">
        <v>45</v>
      </c>
      <c r="G491" s="4" t="s">
        <v>16</v>
      </c>
      <c r="H491" s="4" t="s">
        <v>67</v>
      </c>
      <c r="I491" s="7" t="n">
        <v>2019</v>
      </c>
      <c r="J491" s="7" t="n">
        <v>2025</v>
      </c>
      <c r="K491" s="4" t="s">
        <v>3811</v>
      </c>
      <c r="L491" s="4" t="s">
        <v>3812</v>
      </c>
      <c r="M491" s="4" t="s">
        <v>1377</v>
      </c>
      <c r="N491" s="4" t="s">
        <v>3813</v>
      </c>
      <c r="O491" s="4" t="s">
        <v>3814</v>
      </c>
      <c r="P491" s="4" t="s">
        <v>73</v>
      </c>
    </row>
    <row r="492" customFormat="false" ht="15" hidden="false" customHeight="false" outlineLevel="0" collapsed="false">
      <c r="A492" s="4" t="s">
        <v>3815</v>
      </c>
      <c r="B492" s="4" t="s">
        <v>3816</v>
      </c>
      <c r="C492" s="4" t="s">
        <v>3817</v>
      </c>
      <c r="D492" s="4" t="s">
        <v>66</v>
      </c>
      <c r="E492" s="9" t="n">
        <v>38371</v>
      </c>
      <c r="F492" s="4" t="s">
        <v>56</v>
      </c>
      <c r="G492" s="4" t="s">
        <v>15</v>
      </c>
      <c r="H492" s="4" t="s">
        <v>57</v>
      </c>
      <c r="I492" s="7" t="n">
        <v>2017</v>
      </c>
      <c r="J492" s="7" t="n">
        <v>2023</v>
      </c>
      <c r="K492" s="4" t="s">
        <v>3818</v>
      </c>
      <c r="L492" s="4" t="s">
        <v>3819</v>
      </c>
      <c r="M492" s="4" t="s">
        <v>1096</v>
      </c>
      <c r="N492" s="4" t="s">
        <v>3820</v>
      </c>
      <c r="O492" s="4" t="s">
        <v>3821</v>
      </c>
      <c r="P492" s="4" t="s">
        <v>52</v>
      </c>
    </row>
    <row r="493" customFormat="false" ht="15" hidden="false" customHeight="false" outlineLevel="0" collapsed="false">
      <c r="A493" s="4" t="s">
        <v>3822</v>
      </c>
      <c r="B493" s="4" t="s">
        <v>3823</v>
      </c>
      <c r="C493" s="4" t="s">
        <v>3824</v>
      </c>
      <c r="D493" s="4" t="s">
        <v>66</v>
      </c>
      <c r="E493" s="9" t="n">
        <v>37322</v>
      </c>
      <c r="F493" s="4" t="s">
        <v>142</v>
      </c>
      <c r="G493" s="4" t="s">
        <v>16</v>
      </c>
      <c r="H493" s="4" t="s">
        <v>67</v>
      </c>
      <c r="I493" s="7" t="n">
        <v>2015</v>
      </c>
      <c r="J493" s="7" t="n">
        <v>2021</v>
      </c>
      <c r="K493" s="4" t="s">
        <v>3825</v>
      </c>
      <c r="L493" s="4" t="s">
        <v>3826</v>
      </c>
      <c r="M493" s="4" t="s">
        <v>3827</v>
      </c>
      <c r="N493" s="4" t="s">
        <v>3828</v>
      </c>
      <c r="O493" s="4" t="s">
        <v>3829</v>
      </c>
      <c r="P493" s="4" t="s">
        <v>52</v>
      </c>
    </row>
    <row r="494" customFormat="false" ht="15" hidden="false" customHeight="false" outlineLevel="0" collapsed="false">
      <c r="A494" s="4" t="s">
        <v>3830</v>
      </c>
      <c r="B494" s="4" t="s">
        <v>3831</v>
      </c>
      <c r="C494" s="4" t="s">
        <v>3832</v>
      </c>
      <c r="D494" s="4" t="s">
        <v>44</v>
      </c>
      <c r="E494" s="9" t="n">
        <v>37501</v>
      </c>
      <c r="F494" s="4" t="s">
        <v>142</v>
      </c>
      <c r="G494" s="4" t="s">
        <v>14</v>
      </c>
      <c r="H494" s="4" t="s">
        <v>57</v>
      </c>
      <c r="I494" s="7" t="n">
        <v>2016</v>
      </c>
      <c r="J494" s="7" t="n">
        <v>2021</v>
      </c>
      <c r="K494" s="4" t="s">
        <v>3833</v>
      </c>
      <c r="L494" s="4" t="s">
        <v>3834</v>
      </c>
      <c r="M494" s="4" t="s">
        <v>1261</v>
      </c>
      <c r="N494" s="4" t="s">
        <v>3835</v>
      </c>
      <c r="O494" s="4" t="s">
        <v>3836</v>
      </c>
      <c r="P494" s="4" t="s">
        <v>52</v>
      </c>
    </row>
    <row r="495" customFormat="false" ht="15" hidden="false" customHeight="false" outlineLevel="0" collapsed="false">
      <c r="A495" s="4" t="s">
        <v>3837</v>
      </c>
      <c r="B495" s="4" t="s">
        <v>3838</v>
      </c>
      <c r="C495" s="4" t="s">
        <v>3839</v>
      </c>
      <c r="D495" s="4" t="s">
        <v>66</v>
      </c>
      <c r="E495" s="9" t="n">
        <v>37769</v>
      </c>
      <c r="F495" s="4" t="s">
        <v>142</v>
      </c>
      <c r="G495" s="4" t="s">
        <v>14</v>
      </c>
      <c r="H495" s="4" t="s">
        <v>78</v>
      </c>
      <c r="I495" s="7" t="n">
        <v>2016</v>
      </c>
      <c r="J495" s="7" t="n">
        <v>2022</v>
      </c>
      <c r="K495" s="4" t="s">
        <v>3840</v>
      </c>
      <c r="L495" s="4" t="s">
        <v>3841</v>
      </c>
      <c r="M495" s="4" t="s">
        <v>1609</v>
      </c>
      <c r="N495" s="4" t="s">
        <v>3842</v>
      </c>
      <c r="O495" s="4" t="s">
        <v>3843</v>
      </c>
      <c r="P495" s="4" t="s">
        <v>52</v>
      </c>
    </row>
    <row r="496" customFormat="false" ht="15" hidden="false" customHeight="false" outlineLevel="0" collapsed="false">
      <c r="A496" s="4" t="s">
        <v>3844</v>
      </c>
      <c r="B496" s="4" t="s">
        <v>3845</v>
      </c>
      <c r="C496" s="4" t="s">
        <v>2510</v>
      </c>
      <c r="D496" s="4" t="s">
        <v>44</v>
      </c>
      <c r="E496" s="9" t="n">
        <v>39389</v>
      </c>
      <c r="F496" s="4" t="s">
        <v>142</v>
      </c>
      <c r="G496" s="4" t="s">
        <v>15</v>
      </c>
      <c r="H496" s="4" t="s">
        <v>57</v>
      </c>
      <c r="I496" s="7" t="n">
        <v>2019</v>
      </c>
      <c r="J496" s="7" t="n">
        <v>2025</v>
      </c>
      <c r="K496" s="4" t="s">
        <v>3846</v>
      </c>
      <c r="L496" s="4" t="s">
        <v>3847</v>
      </c>
      <c r="M496" s="4" t="s">
        <v>3848</v>
      </c>
      <c r="N496" s="4" t="s">
        <v>3849</v>
      </c>
      <c r="O496" s="4" t="s">
        <v>3850</v>
      </c>
      <c r="P496" s="4" t="s">
        <v>52</v>
      </c>
    </row>
    <row r="497" customFormat="false" ht="15" hidden="false" customHeight="false" outlineLevel="0" collapsed="false">
      <c r="A497" s="4" t="s">
        <v>3851</v>
      </c>
      <c r="B497" s="4" t="s">
        <v>3852</v>
      </c>
      <c r="C497" s="4" t="s">
        <v>3853</v>
      </c>
      <c r="D497" s="4" t="s">
        <v>66</v>
      </c>
      <c r="E497" s="9" t="n">
        <v>38652</v>
      </c>
      <c r="F497" s="4" t="s">
        <v>56</v>
      </c>
      <c r="G497" s="4" t="s">
        <v>14</v>
      </c>
      <c r="H497" s="4" t="s">
        <v>57</v>
      </c>
      <c r="I497" s="7" t="n">
        <v>2018</v>
      </c>
      <c r="J497" s="7" t="n">
        <v>2023</v>
      </c>
      <c r="K497" s="4" t="s">
        <v>3854</v>
      </c>
      <c r="L497" s="4" t="s">
        <v>3855</v>
      </c>
      <c r="M497" s="4" t="s">
        <v>3031</v>
      </c>
      <c r="N497" s="4" t="s">
        <v>3856</v>
      </c>
      <c r="O497" s="4" t="s">
        <v>3857</v>
      </c>
      <c r="P497" s="4" t="s">
        <v>52</v>
      </c>
    </row>
    <row r="498" customFormat="false" ht="15" hidden="false" customHeight="false" outlineLevel="0" collapsed="false">
      <c r="A498" s="4" t="s">
        <v>3858</v>
      </c>
      <c r="B498" s="4" t="s">
        <v>3859</v>
      </c>
      <c r="C498" s="4" t="s">
        <v>3860</v>
      </c>
      <c r="D498" s="4" t="s">
        <v>66</v>
      </c>
      <c r="E498" s="9" t="n">
        <v>39156</v>
      </c>
      <c r="F498" s="4" t="s">
        <v>77</v>
      </c>
      <c r="G498" s="4" t="s">
        <v>15</v>
      </c>
      <c r="H498" s="4" t="s">
        <v>67</v>
      </c>
      <c r="I498" s="7" t="n">
        <v>2019</v>
      </c>
      <c r="J498" s="7" t="n">
        <v>2025</v>
      </c>
      <c r="K498" s="4" t="s">
        <v>3861</v>
      </c>
      <c r="L498" s="4" t="s">
        <v>3862</v>
      </c>
      <c r="M498" s="4" t="s">
        <v>3863</v>
      </c>
      <c r="N498" s="4" t="s">
        <v>3864</v>
      </c>
      <c r="O498" s="4" t="s">
        <v>3865</v>
      </c>
      <c r="P498" s="4" t="s">
        <v>52</v>
      </c>
    </row>
    <row r="499" customFormat="false" ht="15" hidden="false" customHeight="false" outlineLevel="0" collapsed="false">
      <c r="A499" s="4" t="s">
        <v>3866</v>
      </c>
      <c r="B499" s="4" t="s">
        <v>3867</v>
      </c>
      <c r="C499" s="4" t="s">
        <v>3868</v>
      </c>
      <c r="D499" s="4" t="s">
        <v>66</v>
      </c>
      <c r="E499" s="9" t="n">
        <v>37848</v>
      </c>
      <c r="F499" s="4" t="s">
        <v>142</v>
      </c>
      <c r="G499" s="4" t="s">
        <v>14</v>
      </c>
      <c r="H499" s="4" t="s">
        <v>46</v>
      </c>
      <c r="I499" s="7" t="n">
        <v>2015</v>
      </c>
      <c r="J499" s="7" t="n">
        <v>2021</v>
      </c>
      <c r="K499" s="4" t="s">
        <v>3869</v>
      </c>
      <c r="L499" s="4" t="s">
        <v>3870</v>
      </c>
      <c r="M499" s="4" t="s">
        <v>3871</v>
      </c>
      <c r="N499" s="4" t="s">
        <v>3872</v>
      </c>
      <c r="O499" s="4" t="s">
        <v>3873</v>
      </c>
      <c r="P499" s="4" t="s">
        <v>52</v>
      </c>
    </row>
    <row r="500" customFormat="false" ht="15" hidden="false" customHeight="false" outlineLevel="0" collapsed="false">
      <c r="A500" s="4" t="s">
        <v>3874</v>
      </c>
      <c r="B500" s="4" t="s">
        <v>3875</v>
      </c>
      <c r="C500" s="4" t="s">
        <v>3876</v>
      </c>
      <c r="D500" s="4" t="s">
        <v>44</v>
      </c>
      <c r="E500" s="9" t="n">
        <v>39390</v>
      </c>
      <c r="F500" s="4" t="s">
        <v>45</v>
      </c>
      <c r="G500" s="4" t="s">
        <v>18</v>
      </c>
      <c r="H500" s="4" t="s">
        <v>78</v>
      </c>
      <c r="I500" s="7" t="n">
        <v>2020</v>
      </c>
      <c r="J500" s="7" t="n">
        <v>2025</v>
      </c>
      <c r="K500" s="4" t="s">
        <v>3877</v>
      </c>
      <c r="L500" s="4" t="s">
        <v>3878</v>
      </c>
      <c r="M500" s="4" t="s">
        <v>1208</v>
      </c>
      <c r="N500" s="4" t="s">
        <v>3879</v>
      </c>
      <c r="O500" s="4" t="s">
        <v>3880</v>
      </c>
      <c r="P500" s="4" t="s">
        <v>52</v>
      </c>
    </row>
    <row r="501" customFormat="false" ht="15" hidden="false" customHeight="false" outlineLevel="0" collapsed="false">
      <c r="A501" s="4" t="s">
        <v>3881</v>
      </c>
      <c r="B501" s="4" t="s">
        <v>3882</v>
      </c>
      <c r="C501" s="4" t="s">
        <v>3431</v>
      </c>
      <c r="D501" s="4" t="s">
        <v>66</v>
      </c>
      <c r="E501" s="9" t="n">
        <v>38818</v>
      </c>
      <c r="F501" s="4" t="s">
        <v>142</v>
      </c>
      <c r="G501" s="4" t="s">
        <v>15</v>
      </c>
      <c r="H501" s="4" t="s">
        <v>46</v>
      </c>
      <c r="I501" s="7" t="n">
        <v>2019</v>
      </c>
      <c r="J501" s="7" t="n">
        <v>2025</v>
      </c>
      <c r="K501" s="4" t="s">
        <v>3883</v>
      </c>
      <c r="L501" s="4" t="s">
        <v>3884</v>
      </c>
      <c r="M501" s="4" t="s">
        <v>3885</v>
      </c>
      <c r="N501" s="4" t="s">
        <v>3886</v>
      </c>
      <c r="O501" s="4" t="s">
        <v>3887</v>
      </c>
      <c r="P501" s="4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8"/>
    <col collapsed="false" customWidth="true" hidden="false" outlineLevel="0" max="16" min="16" style="0" width="10"/>
  </cols>
  <sheetData>
    <row r="1" customFormat="false" ht="27.75" hidden="false" customHeight="true" outlineLevel="0" collapsed="false">
      <c r="A1" s="8" t="s">
        <v>25</v>
      </c>
      <c r="B1" s="8" t="s">
        <v>34</v>
      </c>
      <c r="C1" s="8" t="s">
        <v>31</v>
      </c>
      <c r="D1" s="8" t="s">
        <v>3888</v>
      </c>
      <c r="E1" s="8" t="s">
        <v>3889</v>
      </c>
      <c r="F1" s="8" t="s">
        <v>3890</v>
      </c>
      <c r="G1" s="8" t="s">
        <v>3891</v>
      </c>
      <c r="H1" s="8" t="s">
        <v>3892</v>
      </c>
      <c r="I1" s="8" t="s">
        <v>3893</v>
      </c>
      <c r="J1" s="8" t="s">
        <v>3894</v>
      </c>
      <c r="K1" s="8" t="s">
        <v>3895</v>
      </c>
      <c r="L1" s="8" t="s">
        <v>3896</v>
      </c>
      <c r="M1" s="8" t="s">
        <v>3897</v>
      </c>
      <c r="N1" s="8" t="s">
        <v>3898</v>
      </c>
      <c r="O1" s="8" t="s">
        <v>3899</v>
      </c>
      <c r="P1" s="8" t="s">
        <v>3900</v>
      </c>
    </row>
    <row r="2" customFormat="false" ht="15" hidden="false" customHeight="false" outlineLevel="0" collapsed="false">
      <c r="A2" s="4" t="s">
        <v>41</v>
      </c>
      <c r="B2" s="7" t="n">
        <v>2022</v>
      </c>
      <c r="C2" s="4" t="s">
        <v>17</v>
      </c>
      <c r="D2" s="4" t="s">
        <v>3901</v>
      </c>
      <c r="E2" s="4" t="s">
        <v>21</v>
      </c>
      <c r="F2" s="4" t="s">
        <v>3902</v>
      </c>
      <c r="G2" s="4" t="s">
        <v>23</v>
      </c>
      <c r="H2" s="4" t="s">
        <v>3903</v>
      </c>
      <c r="I2" s="4" t="s">
        <v>20</v>
      </c>
      <c r="J2" s="4" t="s">
        <v>3904</v>
      </c>
      <c r="K2" s="4" t="s">
        <v>21</v>
      </c>
      <c r="L2" s="4" t="s">
        <v>3905</v>
      </c>
      <c r="M2" s="4" t="s">
        <v>21</v>
      </c>
      <c r="N2" s="7" t="n">
        <v>3</v>
      </c>
      <c r="O2" s="4" t="s">
        <v>3906</v>
      </c>
      <c r="P2" s="10" t="n">
        <v>-0.193</v>
      </c>
    </row>
    <row r="3" customFormat="false" ht="15" hidden="false" customHeight="false" outlineLevel="0" collapsed="false">
      <c r="A3" s="4" t="s">
        <v>53</v>
      </c>
      <c r="B3" s="7" t="n">
        <v>2023</v>
      </c>
      <c r="C3" s="4" t="s">
        <v>15</v>
      </c>
      <c r="D3" s="4" t="s">
        <v>3907</v>
      </c>
      <c r="E3" s="4" t="s">
        <v>21</v>
      </c>
      <c r="F3" s="4" t="s">
        <v>3908</v>
      </c>
      <c r="G3" s="4" t="s">
        <v>20</v>
      </c>
      <c r="H3" s="4" t="s">
        <v>3909</v>
      </c>
      <c r="I3" s="4" t="s">
        <v>24</v>
      </c>
      <c r="J3" s="4" t="s">
        <v>3904</v>
      </c>
      <c r="K3" s="4" t="s">
        <v>22</v>
      </c>
      <c r="L3" s="4" t="s">
        <v>3905</v>
      </c>
      <c r="M3" s="4" t="s">
        <v>22</v>
      </c>
      <c r="N3" s="7" t="n">
        <v>2</v>
      </c>
      <c r="O3" s="4" t="s">
        <v>3910</v>
      </c>
      <c r="P3" s="11"/>
    </row>
    <row r="4" customFormat="false" ht="15" hidden="false" customHeight="false" outlineLevel="0" collapsed="false">
      <c r="A4" s="4" t="s">
        <v>63</v>
      </c>
      <c r="B4" s="7" t="n">
        <v>2025</v>
      </c>
      <c r="C4" s="4" t="s">
        <v>15</v>
      </c>
      <c r="D4" s="4" t="s">
        <v>3907</v>
      </c>
      <c r="E4" s="4" t="s">
        <v>22</v>
      </c>
      <c r="F4" s="4" t="s">
        <v>3908</v>
      </c>
      <c r="G4" s="4" t="s">
        <v>24</v>
      </c>
      <c r="H4" s="4" t="s">
        <v>3909</v>
      </c>
      <c r="I4" s="4" t="s">
        <v>23</v>
      </c>
      <c r="J4" s="4" t="s">
        <v>3904</v>
      </c>
      <c r="K4" s="4" t="s">
        <v>21</v>
      </c>
      <c r="L4" s="4" t="s">
        <v>3905</v>
      </c>
      <c r="M4" s="4" t="s">
        <v>22</v>
      </c>
      <c r="N4" s="7" t="n">
        <v>2</v>
      </c>
      <c r="O4" s="4" t="s">
        <v>3910</v>
      </c>
      <c r="P4" s="11"/>
    </row>
    <row r="5" customFormat="false" ht="15" hidden="false" customHeight="false" outlineLevel="0" collapsed="false">
      <c r="A5" s="4" t="s">
        <v>74</v>
      </c>
      <c r="B5" s="7" t="n">
        <v>2021</v>
      </c>
      <c r="C5" s="4" t="s">
        <v>16</v>
      </c>
      <c r="D5" s="4" t="s">
        <v>3911</v>
      </c>
      <c r="E5" s="4" t="s">
        <v>21</v>
      </c>
      <c r="F5" s="4" t="s">
        <v>3912</v>
      </c>
      <c r="G5" s="4" t="s">
        <v>21</v>
      </c>
      <c r="H5" s="4" t="s">
        <v>3913</v>
      </c>
      <c r="I5" s="4" t="s">
        <v>20</v>
      </c>
      <c r="J5" s="4" t="s">
        <v>3904</v>
      </c>
      <c r="K5" s="4" t="s">
        <v>22</v>
      </c>
      <c r="L5" s="4" t="s">
        <v>3905</v>
      </c>
      <c r="M5" s="4" t="s">
        <v>21</v>
      </c>
      <c r="N5" s="7" t="n">
        <v>3</v>
      </c>
      <c r="O5" s="4" t="s">
        <v>3906</v>
      </c>
      <c r="P5" s="10" t="n">
        <v>1.9406</v>
      </c>
    </row>
    <row r="6" customFormat="false" ht="15" hidden="false" customHeight="false" outlineLevel="0" collapsed="false">
      <c r="A6" s="4" t="s">
        <v>84</v>
      </c>
      <c r="B6" s="7" t="n">
        <v>2021</v>
      </c>
      <c r="C6" s="4" t="s">
        <v>17</v>
      </c>
      <c r="D6" s="4" t="s">
        <v>3901</v>
      </c>
      <c r="E6" s="4" t="s">
        <v>23</v>
      </c>
      <c r="F6" s="4" t="s">
        <v>3902</v>
      </c>
      <c r="G6" s="4" t="s">
        <v>24</v>
      </c>
      <c r="H6" s="4" t="s">
        <v>3903</v>
      </c>
      <c r="I6" s="4" t="s">
        <v>24</v>
      </c>
      <c r="J6" s="4" t="s">
        <v>3904</v>
      </c>
      <c r="K6" s="4" t="s">
        <v>23</v>
      </c>
      <c r="L6" s="4" t="s">
        <v>3905</v>
      </c>
      <c r="M6" s="4" t="s">
        <v>20</v>
      </c>
      <c r="N6" s="7" t="n">
        <v>1</v>
      </c>
      <c r="O6" s="4" t="s">
        <v>3910</v>
      </c>
      <c r="P6" s="11"/>
    </row>
    <row r="7" customFormat="false" ht="15" hidden="false" customHeight="false" outlineLevel="0" collapsed="false">
      <c r="A7" s="4" t="s">
        <v>92</v>
      </c>
      <c r="B7" s="7" t="n">
        <v>2023</v>
      </c>
      <c r="C7" s="4" t="s">
        <v>14</v>
      </c>
      <c r="D7" s="4" t="s">
        <v>3914</v>
      </c>
      <c r="E7" s="4" t="s">
        <v>24</v>
      </c>
      <c r="F7" s="4" t="s">
        <v>3908</v>
      </c>
      <c r="G7" s="4" t="s">
        <v>22</v>
      </c>
      <c r="H7" s="4" t="s">
        <v>3909</v>
      </c>
      <c r="I7" s="4" t="s">
        <v>22</v>
      </c>
      <c r="J7" s="4" t="s">
        <v>3904</v>
      </c>
      <c r="K7" s="4" t="s">
        <v>20</v>
      </c>
      <c r="L7" s="4" t="s">
        <v>3905</v>
      </c>
      <c r="M7" s="4" t="s">
        <v>20</v>
      </c>
      <c r="N7" s="7" t="n">
        <v>2</v>
      </c>
      <c r="O7" s="4" t="s">
        <v>3910</v>
      </c>
      <c r="P7" s="11"/>
    </row>
    <row r="8" customFormat="false" ht="15" hidden="false" customHeight="false" outlineLevel="0" collapsed="false">
      <c r="A8" s="4" t="s">
        <v>100</v>
      </c>
      <c r="B8" s="7" t="n">
        <v>2021</v>
      </c>
      <c r="C8" s="4" t="s">
        <v>16</v>
      </c>
      <c r="D8" s="4" t="s">
        <v>3911</v>
      </c>
      <c r="E8" s="4" t="s">
        <v>21</v>
      </c>
      <c r="F8" s="4" t="s">
        <v>3912</v>
      </c>
      <c r="G8" s="4" t="s">
        <v>22</v>
      </c>
      <c r="H8" s="4" t="s">
        <v>3913</v>
      </c>
      <c r="I8" s="4" t="s">
        <v>22</v>
      </c>
      <c r="J8" s="4" t="s">
        <v>3904</v>
      </c>
      <c r="K8" s="4" t="s">
        <v>21</v>
      </c>
      <c r="L8" s="4" t="s">
        <v>3905</v>
      </c>
      <c r="M8" s="4" t="s">
        <v>22</v>
      </c>
      <c r="N8" s="7" t="n">
        <v>3</v>
      </c>
      <c r="O8" s="4" t="s">
        <v>3906</v>
      </c>
      <c r="P8" s="10" t="n">
        <v>-0.4969</v>
      </c>
    </row>
    <row r="9" customFormat="false" ht="15" hidden="false" customHeight="false" outlineLevel="0" collapsed="false">
      <c r="A9" s="4" t="s">
        <v>108</v>
      </c>
      <c r="B9" s="7" t="n">
        <v>2023</v>
      </c>
      <c r="C9" s="4" t="s">
        <v>15</v>
      </c>
      <c r="D9" s="4" t="s">
        <v>3907</v>
      </c>
      <c r="E9" s="4" t="s">
        <v>23</v>
      </c>
      <c r="F9" s="4" t="s">
        <v>3908</v>
      </c>
      <c r="G9" s="4" t="s">
        <v>20</v>
      </c>
      <c r="H9" s="4" t="s">
        <v>3909</v>
      </c>
      <c r="I9" s="4" t="s">
        <v>23</v>
      </c>
      <c r="J9" s="4" t="s">
        <v>3904</v>
      </c>
      <c r="K9" s="4" t="s">
        <v>23</v>
      </c>
      <c r="L9" s="4" t="s">
        <v>3905</v>
      </c>
      <c r="M9" s="4" t="s">
        <v>21</v>
      </c>
      <c r="N9" s="7" t="n">
        <v>3</v>
      </c>
      <c r="O9" s="4" t="s">
        <v>3906</v>
      </c>
      <c r="P9" s="10" t="n">
        <v>1.603</v>
      </c>
    </row>
    <row r="10" customFormat="false" ht="15" hidden="false" customHeight="false" outlineLevel="0" collapsed="false">
      <c r="A10" s="4" t="s">
        <v>116</v>
      </c>
      <c r="B10" s="7" t="n">
        <v>2024</v>
      </c>
      <c r="C10" s="4" t="s">
        <v>16</v>
      </c>
      <c r="D10" s="4" t="s">
        <v>3911</v>
      </c>
      <c r="E10" s="4" t="s">
        <v>20</v>
      </c>
      <c r="F10" s="4" t="s">
        <v>3912</v>
      </c>
      <c r="G10" s="4" t="s">
        <v>22</v>
      </c>
      <c r="H10" s="4" t="s">
        <v>3913</v>
      </c>
      <c r="I10" s="4" t="s">
        <v>21</v>
      </c>
      <c r="J10" s="4" t="s">
        <v>3904</v>
      </c>
      <c r="K10" s="4" t="s">
        <v>21</v>
      </c>
      <c r="L10" s="4" t="s">
        <v>3905</v>
      </c>
      <c r="M10" s="4" t="s">
        <v>23</v>
      </c>
      <c r="N10" s="7" t="n">
        <v>3</v>
      </c>
      <c r="O10" s="4" t="s">
        <v>3906</v>
      </c>
      <c r="P10" s="10" t="n">
        <v>1.2351</v>
      </c>
    </row>
    <row r="11" customFormat="false" ht="15" hidden="false" customHeight="false" outlineLevel="0" collapsed="false">
      <c r="A11" s="4" t="s">
        <v>124</v>
      </c>
      <c r="B11" s="7" t="n">
        <v>2023</v>
      </c>
      <c r="C11" s="4" t="s">
        <v>15</v>
      </c>
      <c r="D11" s="4" t="s">
        <v>3907</v>
      </c>
      <c r="E11" s="4" t="s">
        <v>21</v>
      </c>
      <c r="F11" s="4" t="s">
        <v>3908</v>
      </c>
      <c r="G11" s="4" t="s">
        <v>22</v>
      </c>
      <c r="H11" s="4" t="s">
        <v>3909</v>
      </c>
      <c r="I11" s="4" t="s">
        <v>22</v>
      </c>
      <c r="J11" s="4" t="s">
        <v>3904</v>
      </c>
      <c r="K11" s="4" t="s">
        <v>21</v>
      </c>
      <c r="L11" s="4" t="s">
        <v>3905</v>
      </c>
      <c r="M11" s="4" t="s">
        <v>22</v>
      </c>
      <c r="N11" s="7" t="n">
        <v>3</v>
      </c>
      <c r="O11" s="4" t="s">
        <v>3906</v>
      </c>
      <c r="P11" s="10" t="n">
        <v>-1.4789</v>
      </c>
    </row>
    <row r="12" customFormat="false" ht="15" hidden="false" customHeight="false" outlineLevel="0" collapsed="false">
      <c r="A12" s="4" t="s">
        <v>132</v>
      </c>
      <c r="B12" s="7" t="n">
        <v>2024</v>
      </c>
      <c r="C12" s="4" t="s">
        <v>14</v>
      </c>
      <c r="D12" s="4" t="s">
        <v>3914</v>
      </c>
      <c r="E12" s="4" t="s">
        <v>21</v>
      </c>
      <c r="F12" s="4" t="s">
        <v>3908</v>
      </c>
      <c r="G12" s="4" t="s">
        <v>22</v>
      </c>
      <c r="H12" s="4" t="s">
        <v>3909</v>
      </c>
      <c r="I12" s="4" t="s">
        <v>21</v>
      </c>
      <c r="J12" s="4" t="s">
        <v>3904</v>
      </c>
      <c r="K12" s="4" t="s">
        <v>21</v>
      </c>
      <c r="L12" s="4" t="s">
        <v>3905</v>
      </c>
      <c r="M12" s="4" t="s">
        <v>21</v>
      </c>
      <c r="N12" s="7" t="n">
        <v>3</v>
      </c>
      <c r="O12" s="4" t="s">
        <v>3906</v>
      </c>
      <c r="P12" s="10" t="n">
        <v>1.9384</v>
      </c>
    </row>
    <row r="13" customFormat="false" ht="15" hidden="false" customHeight="false" outlineLevel="0" collapsed="false">
      <c r="A13" s="4" t="s">
        <v>139</v>
      </c>
      <c r="B13" s="7" t="n">
        <v>2024</v>
      </c>
      <c r="C13" s="4" t="s">
        <v>14</v>
      </c>
      <c r="D13" s="4" t="s">
        <v>3914</v>
      </c>
      <c r="E13" s="4" t="s">
        <v>21</v>
      </c>
      <c r="F13" s="4" t="s">
        <v>3908</v>
      </c>
      <c r="G13" s="4" t="s">
        <v>24</v>
      </c>
      <c r="H13" s="4" t="s">
        <v>3909</v>
      </c>
      <c r="I13" s="4" t="s">
        <v>21</v>
      </c>
      <c r="J13" s="4" t="s">
        <v>3904</v>
      </c>
      <c r="K13" s="4" t="s">
        <v>23</v>
      </c>
      <c r="L13" s="4" t="s">
        <v>3905</v>
      </c>
      <c r="M13" s="4" t="s">
        <v>22</v>
      </c>
      <c r="N13" s="7" t="n">
        <v>2</v>
      </c>
      <c r="O13" s="4" t="s">
        <v>3910</v>
      </c>
      <c r="P13" s="11"/>
    </row>
    <row r="14" customFormat="false" ht="15" hidden="false" customHeight="false" outlineLevel="0" collapsed="false">
      <c r="A14" s="4" t="s">
        <v>148</v>
      </c>
      <c r="B14" s="7" t="n">
        <v>2025</v>
      </c>
      <c r="C14" s="4" t="s">
        <v>15</v>
      </c>
      <c r="D14" s="4" t="s">
        <v>3907</v>
      </c>
      <c r="E14" s="4" t="s">
        <v>21</v>
      </c>
      <c r="F14" s="4" t="s">
        <v>3908</v>
      </c>
      <c r="G14" s="4" t="s">
        <v>21</v>
      </c>
      <c r="H14" s="4" t="s">
        <v>3909</v>
      </c>
      <c r="I14" s="4" t="s">
        <v>22</v>
      </c>
      <c r="J14" s="4" t="s">
        <v>3904</v>
      </c>
      <c r="K14" s="4" t="s">
        <v>21</v>
      </c>
      <c r="L14" s="4" t="s">
        <v>3905</v>
      </c>
      <c r="M14" s="4" t="s">
        <v>23</v>
      </c>
      <c r="N14" s="7" t="n">
        <v>3</v>
      </c>
      <c r="O14" s="4" t="s">
        <v>3906</v>
      </c>
      <c r="P14" s="10" t="n">
        <v>1.6249</v>
      </c>
    </row>
    <row r="15" customFormat="false" ht="15" hidden="false" customHeight="false" outlineLevel="0" collapsed="false">
      <c r="A15" s="4" t="s">
        <v>156</v>
      </c>
      <c r="B15" s="7" t="n">
        <v>2021</v>
      </c>
      <c r="C15" s="4" t="s">
        <v>16</v>
      </c>
      <c r="D15" s="4" t="s">
        <v>3911</v>
      </c>
      <c r="E15" s="4" t="s">
        <v>23</v>
      </c>
      <c r="F15" s="4" t="s">
        <v>3912</v>
      </c>
      <c r="G15" s="4" t="s">
        <v>22</v>
      </c>
      <c r="H15" s="4" t="s">
        <v>3913</v>
      </c>
      <c r="I15" s="4" t="s">
        <v>22</v>
      </c>
      <c r="J15" s="4" t="s">
        <v>3904</v>
      </c>
      <c r="K15" s="4" t="s">
        <v>22</v>
      </c>
      <c r="L15" s="4" t="s">
        <v>3905</v>
      </c>
      <c r="M15" s="4" t="s">
        <v>23</v>
      </c>
      <c r="N15" s="7" t="n">
        <v>3</v>
      </c>
      <c r="O15" s="4" t="s">
        <v>3906</v>
      </c>
      <c r="P15" s="10" t="n">
        <v>-1.1464</v>
      </c>
    </row>
    <row r="16" customFormat="false" ht="15" hidden="false" customHeight="false" outlineLevel="0" collapsed="false">
      <c r="A16" s="4" t="s">
        <v>164</v>
      </c>
      <c r="B16" s="7" t="n">
        <v>2023</v>
      </c>
      <c r="C16" s="4" t="s">
        <v>14</v>
      </c>
      <c r="D16" s="4" t="s">
        <v>3914</v>
      </c>
      <c r="E16" s="4" t="s">
        <v>21</v>
      </c>
      <c r="F16" s="4" t="s">
        <v>3908</v>
      </c>
      <c r="G16" s="4" t="s">
        <v>24</v>
      </c>
      <c r="H16" s="4" t="s">
        <v>3909</v>
      </c>
      <c r="I16" s="4" t="s">
        <v>22</v>
      </c>
      <c r="J16" s="4" t="s">
        <v>3904</v>
      </c>
      <c r="K16" s="4" t="s">
        <v>23</v>
      </c>
      <c r="L16" s="4" t="s">
        <v>3905</v>
      </c>
      <c r="M16" s="4" t="s">
        <v>20</v>
      </c>
      <c r="N16" s="7" t="n">
        <v>2</v>
      </c>
      <c r="O16" s="4" t="s">
        <v>3910</v>
      </c>
      <c r="P16" s="11"/>
    </row>
    <row r="17" customFormat="false" ht="15" hidden="false" customHeight="false" outlineLevel="0" collapsed="false">
      <c r="A17" s="4" t="s">
        <v>172</v>
      </c>
      <c r="B17" s="7" t="n">
        <v>2023</v>
      </c>
      <c r="C17" s="4" t="s">
        <v>15</v>
      </c>
      <c r="D17" s="4" t="s">
        <v>3907</v>
      </c>
      <c r="E17" s="4" t="s">
        <v>21</v>
      </c>
      <c r="F17" s="4" t="s">
        <v>3908</v>
      </c>
      <c r="G17" s="4" t="s">
        <v>22</v>
      </c>
      <c r="H17" s="4" t="s">
        <v>3909</v>
      </c>
      <c r="I17" s="4" t="s">
        <v>22</v>
      </c>
      <c r="J17" s="4" t="s">
        <v>3904</v>
      </c>
      <c r="K17" s="4" t="s">
        <v>23</v>
      </c>
      <c r="L17" s="4" t="s">
        <v>3905</v>
      </c>
      <c r="M17" s="4" t="s">
        <v>24</v>
      </c>
      <c r="N17" s="7" t="n">
        <v>3</v>
      </c>
      <c r="O17" s="4" t="s">
        <v>3906</v>
      </c>
      <c r="P17" s="10" t="n">
        <v>-0.7104</v>
      </c>
    </row>
    <row r="18" customFormat="false" ht="15" hidden="false" customHeight="false" outlineLevel="0" collapsed="false">
      <c r="A18" s="4" t="s">
        <v>180</v>
      </c>
      <c r="B18" s="7" t="n">
        <v>2023</v>
      </c>
      <c r="C18" s="4" t="s">
        <v>15</v>
      </c>
      <c r="D18" s="4" t="s">
        <v>3907</v>
      </c>
      <c r="E18" s="4" t="s">
        <v>22</v>
      </c>
      <c r="F18" s="4" t="s">
        <v>3908</v>
      </c>
      <c r="G18" s="4" t="s">
        <v>21</v>
      </c>
      <c r="H18" s="4" t="s">
        <v>3909</v>
      </c>
      <c r="I18" s="4" t="s">
        <v>22</v>
      </c>
      <c r="J18" s="4" t="s">
        <v>3904</v>
      </c>
      <c r="K18" s="4" t="s">
        <v>23</v>
      </c>
      <c r="L18" s="4" t="s">
        <v>3905</v>
      </c>
      <c r="M18" s="4" t="s">
        <v>23</v>
      </c>
      <c r="N18" s="7" t="n">
        <v>3</v>
      </c>
      <c r="O18" s="4" t="s">
        <v>3906</v>
      </c>
      <c r="P18" s="10" t="n">
        <v>0.7941</v>
      </c>
    </row>
    <row r="19" customFormat="false" ht="15" hidden="false" customHeight="false" outlineLevel="0" collapsed="false">
      <c r="A19" s="4" t="s">
        <v>187</v>
      </c>
      <c r="B19" s="7" t="n">
        <v>2024</v>
      </c>
      <c r="C19" s="4" t="s">
        <v>17</v>
      </c>
      <c r="D19" s="4" t="s">
        <v>3901</v>
      </c>
      <c r="E19" s="4" t="s">
        <v>22</v>
      </c>
      <c r="F19" s="4" t="s">
        <v>3902</v>
      </c>
      <c r="G19" s="4" t="s">
        <v>22</v>
      </c>
      <c r="H19" s="4" t="s">
        <v>3903</v>
      </c>
      <c r="I19" s="4" t="s">
        <v>21</v>
      </c>
      <c r="J19" s="4" t="s">
        <v>3904</v>
      </c>
      <c r="K19" s="4" t="s">
        <v>21</v>
      </c>
      <c r="L19" s="4" t="s">
        <v>3905</v>
      </c>
      <c r="M19" s="4" t="s">
        <v>21</v>
      </c>
      <c r="N19" s="7" t="n">
        <v>3</v>
      </c>
      <c r="O19" s="4" t="s">
        <v>3906</v>
      </c>
      <c r="P19" s="10" t="n">
        <v>1.3745</v>
      </c>
    </row>
    <row r="20" customFormat="false" ht="15" hidden="false" customHeight="false" outlineLevel="0" collapsed="false">
      <c r="A20" s="4" t="s">
        <v>195</v>
      </c>
      <c r="B20" s="7" t="n">
        <v>2021</v>
      </c>
      <c r="C20" s="4" t="s">
        <v>17</v>
      </c>
      <c r="D20" s="4" t="s">
        <v>3901</v>
      </c>
      <c r="E20" s="4" t="s">
        <v>23</v>
      </c>
      <c r="F20" s="4" t="s">
        <v>3902</v>
      </c>
      <c r="G20" s="4" t="s">
        <v>21</v>
      </c>
      <c r="H20" s="4" t="s">
        <v>3903</v>
      </c>
      <c r="I20" s="4" t="s">
        <v>21</v>
      </c>
      <c r="J20" s="4" t="s">
        <v>3904</v>
      </c>
      <c r="K20" s="4" t="s">
        <v>22</v>
      </c>
      <c r="L20" s="4" t="s">
        <v>3905</v>
      </c>
      <c r="M20" s="4" t="s">
        <v>24</v>
      </c>
      <c r="N20" s="7" t="n">
        <v>3</v>
      </c>
      <c r="O20" s="4" t="s">
        <v>3906</v>
      </c>
      <c r="P20" s="10" t="n">
        <v>0.3606</v>
      </c>
    </row>
    <row r="21" customFormat="false" ht="15" hidden="false" customHeight="false" outlineLevel="0" collapsed="false">
      <c r="A21" s="4" t="s">
        <v>203</v>
      </c>
      <c r="B21" s="7" t="n">
        <v>2025</v>
      </c>
      <c r="C21" s="4" t="s">
        <v>15</v>
      </c>
      <c r="D21" s="4" t="s">
        <v>3907</v>
      </c>
      <c r="E21" s="4" t="s">
        <v>22</v>
      </c>
      <c r="F21" s="4" t="s">
        <v>3908</v>
      </c>
      <c r="G21" s="4" t="s">
        <v>21</v>
      </c>
      <c r="H21" s="4" t="s">
        <v>3909</v>
      </c>
      <c r="I21" s="4" t="s">
        <v>20</v>
      </c>
      <c r="J21" s="4" t="s">
        <v>3904</v>
      </c>
      <c r="K21" s="4" t="s">
        <v>21</v>
      </c>
      <c r="L21" s="4" t="s">
        <v>3905</v>
      </c>
      <c r="M21" s="4" t="s">
        <v>22</v>
      </c>
      <c r="N21" s="7" t="n">
        <v>3</v>
      </c>
      <c r="O21" s="4" t="s">
        <v>3906</v>
      </c>
      <c r="P21" s="10" t="n">
        <v>0.5278</v>
      </c>
    </row>
    <row r="22" customFormat="false" ht="15" hidden="false" customHeight="false" outlineLevel="0" collapsed="false">
      <c r="A22" s="4" t="s">
        <v>211</v>
      </c>
      <c r="B22" s="7" t="n">
        <v>2024</v>
      </c>
      <c r="C22" s="4" t="s">
        <v>16</v>
      </c>
      <c r="D22" s="4" t="s">
        <v>3911</v>
      </c>
      <c r="E22" s="4" t="s">
        <v>21</v>
      </c>
      <c r="F22" s="4" t="s">
        <v>3912</v>
      </c>
      <c r="G22" s="4" t="s">
        <v>21</v>
      </c>
      <c r="H22" s="4" t="s">
        <v>3913</v>
      </c>
      <c r="I22" s="4" t="s">
        <v>22</v>
      </c>
      <c r="J22" s="4" t="s">
        <v>3904</v>
      </c>
      <c r="K22" s="4" t="s">
        <v>22</v>
      </c>
      <c r="L22" s="4" t="s">
        <v>3905</v>
      </c>
      <c r="M22" s="4" t="s">
        <v>21</v>
      </c>
      <c r="N22" s="7" t="n">
        <v>3</v>
      </c>
      <c r="O22" s="4" t="s">
        <v>3906</v>
      </c>
      <c r="P22" s="10" t="n">
        <v>-0.5496</v>
      </c>
    </row>
    <row r="23" customFormat="false" ht="15" hidden="false" customHeight="false" outlineLevel="0" collapsed="false">
      <c r="A23" s="4" t="s">
        <v>219</v>
      </c>
      <c r="B23" s="7" t="n">
        <v>2025</v>
      </c>
      <c r="C23" s="4" t="s">
        <v>17</v>
      </c>
      <c r="D23" s="4" t="s">
        <v>3901</v>
      </c>
      <c r="E23" s="4" t="s">
        <v>22</v>
      </c>
      <c r="F23" s="4" t="s">
        <v>3902</v>
      </c>
      <c r="G23" s="4" t="s">
        <v>21</v>
      </c>
      <c r="H23" s="4" t="s">
        <v>3903</v>
      </c>
      <c r="I23" s="4" t="s">
        <v>20</v>
      </c>
      <c r="J23" s="4" t="s">
        <v>3904</v>
      </c>
      <c r="K23" s="4" t="s">
        <v>24</v>
      </c>
      <c r="L23" s="4" t="s">
        <v>3905</v>
      </c>
      <c r="M23" s="4" t="s">
        <v>24</v>
      </c>
      <c r="N23" s="7" t="n">
        <v>3</v>
      </c>
      <c r="O23" s="4" t="s">
        <v>3906</v>
      </c>
      <c r="P23" s="10" t="n">
        <v>2.1761</v>
      </c>
    </row>
    <row r="24" customFormat="false" ht="15" hidden="false" customHeight="false" outlineLevel="0" collapsed="false">
      <c r="A24" s="4" t="s">
        <v>227</v>
      </c>
      <c r="B24" s="7" t="n">
        <v>2025</v>
      </c>
      <c r="C24" s="4" t="s">
        <v>15</v>
      </c>
      <c r="D24" s="4" t="s">
        <v>3907</v>
      </c>
      <c r="E24" s="4" t="s">
        <v>21</v>
      </c>
      <c r="F24" s="4" t="s">
        <v>3908</v>
      </c>
      <c r="G24" s="4" t="s">
        <v>21</v>
      </c>
      <c r="H24" s="4" t="s">
        <v>3909</v>
      </c>
      <c r="I24" s="4" t="s">
        <v>24</v>
      </c>
      <c r="J24" s="4" t="s">
        <v>3904</v>
      </c>
      <c r="K24" s="4" t="s">
        <v>22</v>
      </c>
      <c r="L24" s="4" t="s">
        <v>3905</v>
      </c>
      <c r="M24" s="4" t="s">
        <v>22</v>
      </c>
      <c r="N24" s="7" t="n">
        <v>2</v>
      </c>
      <c r="O24" s="4" t="s">
        <v>3910</v>
      </c>
      <c r="P24" s="11"/>
    </row>
    <row r="25" customFormat="false" ht="15" hidden="false" customHeight="false" outlineLevel="0" collapsed="false">
      <c r="A25" s="4" t="s">
        <v>235</v>
      </c>
      <c r="B25" s="7" t="n">
        <v>2023</v>
      </c>
      <c r="C25" s="4" t="s">
        <v>15</v>
      </c>
      <c r="D25" s="4" t="s">
        <v>3907</v>
      </c>
      <c r="E25" s="4" t="s">
        <v>21</v>
      </c>
      <c r="F25" s="4" t="s">
        <v>3908</v>
      </c>
      <c r="G25" s="4" t="s">
        <v>24</v>
      </c>
      <c r="H25" s="4" t="s">
        <v>3909</v>
      </c>
      <c r="I25" s="4" t="s">
        <v>24</v>
      </c>
      <c r="J25" s="4" t="s">
        <v>3904</v>
      </c>
      <c r="K25" s="4" t="s">
        <v>22</v>
      </c>
      <c r="L25" s="4" t="s">
        <v>3905</v>
      </c>
      <c r="M25" s="4" t="s">
        <v>23</v>
      </c>
      <c r="N25" s="7" t="n">
        <v>1</v>
      </c>
      <c r="O25" s="4" t="s">
        <v>3910</v>
      </c>
      <c r="P25" s="11"/>
    </row>
    <row r="26" customFormat="false" ht="15" hidden="false" customHeight="false" outlineLevel="0" collapsed="false">
      <c r="A26" s="4" t="s">
        <v>243</v>
      </c>
      <c r="B26" s="7" t="n">
        <v>2021</v>
      </c>
      <c r="C26" s="4" t="s">
        <v>16</v>
      </c>
      <c r="D26" s="4" t="s">
        <v>3911</v>
      </c>
      <c r="E26" s="4" t="s">
        <v>20</v>
      </c>
      <c r="F26" s="4" t="s">
        <v>3912</v>
      </c>
      <c r="G26" s="4" t="s">
        <v>22</v>
      </c>
      <c r="H26" s="4" t="s">
        <v>3913</v>
      </c>
      <c r="I26" s="4" t="s">
        <v>22</v>
      </c>
      <c r="J26" s="4" t="s">
        <v>3904</v>
      </c>
      <c r="K26" s="4" t="s">
        <v>22</v>
      </c>
      <c r="L26" s="4" t="s">
        <v>3905</v>
      </c>
      <c r="M26" s="4" t="s">
        <v>21</v>
      </c>
      <c r="N26" s="7" t="n">
        <v>3</v>
      </c>
      <c r="O26" s="4" t="s">
        <v>3906</v>
      </c>
      <c r="P26" s="10" t="n">
        <v>0.7701</v>
      </c>
    </row>
    <row r="27" customFormat="false" ht="15" hidden="false" customHeight="false" outlineLevel="0" collapsed="false">
      <c r="A27" s="4" t="s">
        <v>251</v>
      </c>
      <c r="B27" s="7" t="n">
        <v>2024</v>
      </c>
      <c r="C27" s="4" t="s">
        <v>15</v>
      </c>
      <c r="D27" s="4" t="s">
        <v>3907</v>
      </c>
      <c r="E27" s="4" t="s">
        <v>23</v>
      </c>
      <c r="F27" s="4" t="s">
        <v>3908</v>
      </c>
      <c r="G27" s="4" t="s">
        <v>24</v>
      </c>
      <c r="H27" s="4" t="s">
        <v>3909</v>
      </c>
      <c r="I27" s="4" t="s">
        <v>21</v>
      </c>
      <c r="J27" s="4" t="s">
        <v>3904</v>
      </c>
      <c r="K27" s="4" t="s">
        <v>24</v>
      </c>
      <c r="L27" s="4" t="s">
        <v>3905</v>
      </c>
      <c r="M27" s="4" t="s">
        <v>20</v>
      </c>
      <c r="N27" s="7" t="n">
        <v>2</v>
      </c>
      <c r="O27" s="4" t="s">
        <v>3910</v>
      </c>
      <c r="P27" s="11"/>
    </row>
    <row r="28" customFormat="false" ht="15" hidden="false" customHeight="false" outlineLevel="0" collapsed="false">
      <c r="A28" s="4" t="s">
        <v>259</v>
      </c>
      <c r="B28" s="7" t="n">
        <v>2021</v>
      </c>
      <c r="C28" s="4" t="s">
        <v>16</v>
      </c>
      <c r="D28" s="4" t="s">
        <v>3911</v>
      </c>
      <c r="E28" s="4" t="s">
        <v>21</v>
      </c>
      <c r="F28" s="4" t="s">
        <v>3912</v>
      </c>
      <c r="G28" s="4" t="s">
        <v>21</v>
      </c>
      <c r="H28" s="4" t="s">
        <v>3913</v>
      </c>
      <c r="I28" s="4" t="s">
        <v>23</v>
      </c>
      <c r="J28" s="4" t="s">
        <v>3904</v>
      </c>
      <c r="K28" s="4" t="s">
        <v>23</v>
      </c>
      <c r="L28" s="4" t="s">
        <v>3905</v>
      </c>
      <c r="M28" s="4" t="s">
        <v>22</v>
      </c>
      <c r="N28" s="7" t="n">
        <v>3</v>
      </c>
      <c r="O28" s="4" t="s">
        <v>3906</v>
      </c>
      <c r="P28" s="10" t="n">
        <v>-1.1772</v>
      </c>
    </row>
    <row r="29" customFormat="false" ht="15" hidden="false" customHeight="false" outlineLevel="0" collapsed="false">
      <c r="A29" s="4" t="s">
        <v>266</v>
      </c>
      <c r="B29" s="7" t="n">
        <v>2024</v>
      </c>
      <c r="C29" s="4" t="s">
        <v>15</v>
      </c>
      <c r="D29" s="4" t="s">
        <v>3907</v>
      </c>
      <c r="E29" s="4" t="s">
        <v>21</v>
      </c>
      <c r="F29" s="4" t="s">
        <v>3908</v>
      </c>
      <c r="G29" s="4" t="s">
        <v>22</v>
      </c>
      <c r="H29" s="4" t="s">
        <v>3909</v>
      </c>
      <c r="I29" s="4" t="s">
        <v>22</v>
      </c>
      <c r="J29" s="4" t="s">
        <v>3904</v>
      </c>
      <c r="K29" s="4" t="s">
        <v>23</v>
      </c>
      <c r="L29" s="4" t="s">
        <v>3905</v>
      </c>
      <c r="M29" s="4" t="s">
        <v>23</v>
      </c>
      <c r="N29" s="7" t="n">
        <v>3</v>
      </c>
      <c r="O29" s="4" t="s">
        <v>3906</v>
      </c>
      <c r="P29" s="10" t="n">
        <v>-1.2261</v>
      </c>
    </row>
    <row r="30" customFormat="false" ht="15" hidden="false" customHeight="false" outlineLevel="0" collapsed="false">
      <c r="A30" s="4" t="s">
        <v>274</v>
      </c>
      <c r="B30" s="7" t="n">
        <v>2023</v>
      </c>
      <c r="C30" s="4" t="s">
        <v>15</v>
      </c>
      <c r="D30" s="4" t="s">
        <v>3907</v>
      </c>
      <c r="E30" s="4" t="s">
        <v>22</v>
      </c>
      <c r="F30" s="4" t="s">
        <v>3908</v>
      </c>
      <c r="G30" s="4" t="s">
        <v>23</v>
      </c>
      <c r="H30" s="4" t="s">
        <v>3909</v>
      </c>
      <c r="I30" s="4" t="s">
        <v>22</v>
      </c>
      <c r="J30" s="4" t="s">
        <v>3904</v>
      </c>
      <c r="K30" s="4" t="s">
        <v>20</v>
      </c>
      <c r="L30" s="4" t="s">
        <v>3905</v>
      </c>
      <c r="M30" s="4" t="s">
        <v>23</v>
      </c>
      <c r="N30" s="7" t="n">
        <v>3</v>
      </c>
      <c r="O30" s="4" t="s">
        <v>3906</v>
      </c>
      <c r="P30" s="10" t="n">
        <v>0.3776</v>
      </c>
    </row>
    <row r="31" customFormat="false" ht="15" hidden="false" customHeight="false" outlineLevel="0" collapsed="false">
      <c r="A31" s="4" t="s">
        <v>282</v>
      </c>
      <c r="B31" s="7" t="n">
        <v>2024</v>
      </c>
      <c r="C31" s="4" t="s">
        <v>16</v>
      </c>
      <c r="D31" s="4" t="s">
        <v>3911</v>
      </c>
      <c r="E31" s="4" t="s">
        <v>21</v>
      </c>
      <c r="F31" s="4" t="s">
        <v>3912</v>
      </c>
      <c r="G31" s="4" t="s">
        <v>21</v>
      </c>
      <c r="H31" s="4" t="s">
        <v>3913</v>
      </c>
      <c r="I31" s="4" t="s">
        <v>21</v>
      </c>
      <c r="J31" s="4" t="s">
        <v>3904</v>
      </c>
      <c r="K31" s="4" t="s">
        <v>22</v>
      </c>
      <c r="L31" s="4" t="s">
        <v>3905</v>
      </c>
      <c r="M31" s="4" t="s">
        <v>20</v>
      </c>
      <c r="N31" s="7" t="n">
        <v>3</v>
      </c>
      <c r="O31" s="4" t="s">
        <v>3906</v>
      </c>
      <c r="P31" s="10" t="n">
        <v>-0.0832</v>
      </c>
    </row>
    <row r="32" customFormat="false" ht="15" hidden="false" customHeight="false" outlineLevel="0" collapsed="false">
      <c r="A32" s="4" t="s">
        <v>289</v>
      </c>
      <c r="B32" s="7" t="n">
        <v>2023</v>
      </c>
      <c r="C32" s="4" t="s">
        <v>16</v>
      </c>
      <c r="D32" s="4" t="s">
        <v>3911</v>
      </c>
      <c r="E32" s="4" t="s">
        <v>20</v>
      </c>
      <c r="F32" s="4" t="s">
        <v>3912</v>
      </c>
      <c r="G32" s="4" t="s">
        <v>21</v>
      </c>
      <c r="H32" s="4" t="s">
        <v>3913</v>
      </c>
      <c r="I32" s="4" t="s">
        <v>23</v>
      </c>
      <c r="J32" s="4" t="s">
        <v>3904</v>
      </c>
      <c r="K32" s="4" t="s">
        <v>22</v>
      </c>
      <c r="L32" s="4" t="s">
        <v>3905</v>
      </c>
      <c r="M32" s="4" t="s">
        <v>22</v>
      </c>
      <c r="N32" s="7" t="n">
        <v>3</v>
      </c>
      <c r="O32" s="4" t="s">
        <v>3906</v>
      </c>
      <c r="P32" s="10" t="n">
        <v>1.3068</v>
      </c>
    </row>
    <row r="33" customFormat="false" ht="15" hidden="false" customHeight="false" outlineLevel="0" collapsed="false">
      <c r="A33" s="4" t="s">
        <v>296</v>
      </c>
      <c r="B33" s="7" t="n">
        <v>2024</v>
      </c>
      <c r="C33" s="4" t="s">
        <v>17</v>
      </c>
      <c r="D33" s="4" t="s">
        <v>3901</v>
      </c>
      <c r="E33" s="4" t="s">
        <v>24</v>
      </c>
      <c r="F33" s="4" t="s">
        <v>3902</v>
      </c>
      <c r="G33" s="4" t="s">
        <v>22</v>
      </c>
      <c r="H33" s="4" t="s">
        <v>3903</v>
      </c>
      <c r="I33" s="4" t="s">
        <v>22</v>
      </c>
      <c r="J33" s="4" t="s">
        <v>3904</v>
      </c>
      <c r="K33" s="4" t="s">
        <v>20</v>
      </c>
      <c r="L33" s="4" t="s">
        <v>3905</v>
      </c>
      <c r="M33" s="4" t="s">
        <v>20</v>
      </c>
      <c r="N33" s="7" t="n">
        <v>2</v>
      </c>
      <c r="O33" s="4" t="s">
        <v>3910</v>
      </c>
      <c r="P33" s="11"/>
    </row>
    <row r="34" customFormat="false" ht="15" hidden="false" customHeight="false" outlineLevel="0" collapsed="false">
      <c r="A34" s="4" t="s">
        <v>304</v>
      </c>
      <c r="B34" s="7" t="n">
        <v>2022</v>
      </c>
      <c r="C34" s="4" t="s">
        <v>14</v>
      </c>
      <c r="D34" s="4" t="s">
        <v>3914</v>
      </c>
      <c r="E34" s="4" t="s">
        <v>20</v>
      </c>
      <c r="F34" s="4" t="s">
        <v>3908</v>
      </c>
      <c r="G34" s="4" t="s">
        <v>21</v>
      </c>
      <c r="H34" s="4" t="s">
        <v>3909</v>
      </c>
      <c r="I34" s="4" t="s">
        <v>22</v>
      </c>
      <c r="J34" s="4" t="s">
        <v>3904</v>
      </c>
      <c r="K34" s="4" t="s">
        <v>22</v>
      </c>
      <c r="L34" s="4" t="s">
        <v>3905</v>
      </c>
      <c r="M34" s="4" t="s">
        <v>20</v>
      </c>
      <c r="N34" s="7" t="n">
        <v>3</v>
      </c>
      <c r="O34" s="4" t="s">
        <v>3906</v>
      </c>
      <c r="P34" s="10" t="n">
        <v>1.6794</v>
      </c>
    </row>
    <row r="35" customFormat="false" ht="15" hidden="false" customHeight="false" outlineLevel="0" collapsed="false">
      <c r="A35" s="4" t="s">
        <v>312</v>
      </c>
      <c r="B35" s="7" t="n">
        <v>2025</v>
      </c>
      <c r="C35" s="4" t="s">
        <v>17</v>
      </c>
      <c r="D35" s="4" t="s">
        <v>3901</v>
      </c>
      <c r="E35" s="4" t="s">
        <v>20</v>
      </c>
      <c r="F35" s="4" t="s">
        <v>3902</v>
      </c>
      <c r="G35" s="4" t="s">
        <v>21</v>
      </c>
      <c r="H35" s="4" t="s">
        <v>3903</v>
      </c>
      <c r="I35" s="4" t="s">
        <v>23</v>
      </c>
      <c r="J35" s="4" t="s">
        <v>3904</v>
      </c>
      <c r="K35" s="4" t="s">
        <v>23</v>
      </c>
      <c r="L35" s="4" t="s">
        <v>3905</v>
      </c>
      <c r="M35" s="4" t="s">
        <v>21</v>
      </c>
      <c r="N35" s="7" t="n">
        <v>3</v>
      </c>
      <c r="O35" s="4" t="s">
        <v>3906</v>
      </c>
      <c r="P35" s="10" t="n">
        <v>-0.3217</v>
      </c>
    </row>
    <row r="36" customFormat="false" ht="15" hidden="false" customHeight="false" outlineLevel="0" collapsed="false">
      <c r="A36" s="4" t="s">
        <v>320</v>
      </c>
      <c r="B36" s="7" t="n">
        <v>2024</v>
      </c>
      <c r="C36" s="4" t="s">
        <v>18</v>
      </c>
      <c r="D36" s="4" t="s">
        <v>3915</v>
      </c>
      <c r="E36" s="4" t="s">
        <v>22</v>
      </c>
      <c r="F36" s="4" t="s">
        <v>3916</v>
      </c>
      <c r="G36" s="4" t="s">
        <v>21</v>
      </c>
      <c r="H36" s="4" t="s">
        <v>3917</v>
      </c>
      <c r="I36" s="4" t="s">
        <v>22</v>
      </c>
      <c r="J36" s="4" t="s">
        <v>3904</v>
      </c>
      <c r="K36" s="4" t="s">
        <v>23</v>
      </c>
      <c r="L36" s="4" t="s">
        <v>3905</v>
      </c>
      <c r="M36" s="4" t="s">
        <v>20</v>
      </c>
      <c r="N36" s="7" t="n">
        <v>3</v>
      </c>
      <c r="O36" s="4" t="s">
        <v>3906</v>
      </c>
      <c r="P36" s="10" t="n">
        <v>1.0505</v>
      </c>
    </row>
    <row r="37" customFormat="false" ht="15" hidden="false" customHeight="false" outlineLevel="0" collapsed="false">
      <c r="A37" s="4" t="s">
        <v>328</v>
      </c>
      <c r="B37" s="7" t="n">
        <v>2025</v>
      </c>
      <c r="C37" s="4" t="s">
        <v>15</v>
      </c>
      <c r="D37" s="4" t="s">
        <v>3907</v>
      </c>
      <c r="E37" s="4" t="s">
        <v>20</v>
      </c>
      <c r="F37" s="4" t="s">
        <v>3908</v>
      </c>
      <c r="G37" s="4" t="s">
        <v>23</v>
      </c>
      <c r="H37" s="4" t="s">
        <v>3909</v>
      </c>
      <c r="I37" s="4" t="s">
        <v>22</v>
      </c>
      <c r="J37" s="4" t="s">
        <v>3904</v>
      </c>
      <c r="K37" s="4" t="s">
        <v>23</v>
      </c>
      <c r="L37" s="4" t="s">
        <v>3905</v>
      </c>
      <c r="M37" s="4" t="s">
        <v>21</v>
      </c>
      <c r="N37" s="7" t="n">
        <v>3</v>
      </c>
      <c r="O37" s="4" t="s">
        <v>3906</v>
      </c>
      <c r="P37" s="10" t="n">
        <v>-1.1664</v>
      </c>
    </row>
    <row r="38" customFormat="false" ht="15" hidden="false" customHeight="false" outlineLevel="0" collapsed="false">
      <c r="A38" s="4" t="s">
        <v>336</v>
      </c>
      <c r="B38" s="7" t="n">
        <v>2022</v>
      </c>
      <c r="C38" s="4" t="s">
        <v>17</v>
      </c>
      <c r="D38" s="4" t="s">
        <v>3901</v>
      </c>
      <c r="E38" s="4" t="s">
        <v>21</v>
      </c>
      <c r="F38" s="4" t="s">
        <v>3902</v>
      </c>
      <c r="G38" s="4" t="s">
        <v>24</v>
      </c>
      <c r="H38" s="4" t="s">
        <v>3903</v>
      </c>
      <c r="I38" s="4" t="s">
        <v>20</v>
      </c>
      <c r="J38" s="4" t="s">
        <v>3904</v>
      </c>
      <c r="K38" s="4" t="s">
        <v>20</v>
      </c>
      <c r="L38" s="4" t="s">
        <v>3905</v>
      </c>
      <c r="M38" s="4" t="s">
        <v>20</v>
      </c>
      <c r="N38" s="7" t="n">
        <v>2</v>
      </c>
      <c r="O38" s="4" t="s">
        <v>3910</v>
      </c>
      <c r="P38" s="11"/>
    </row>
    <row r="39" customFormat="false" ht="15" hidden="false" customHeight="false" outlineLevel="0" collapsed="false">
      <c r="A39" s="4" t="s">
        <v>344</v>
      </c>
      <c r="B39" s="7" t="n">
        <v>2025</v>
      </c>
      <c r="C39" s="4" t="s">
        <v>18</v>
      </c>
      <c r="D39" s="4" t="s">
        <v>3915</v>
      </c>
      <c r="E39" s="4" t="s">
        <v>21</v>
      </c>
      <c r="F39" s="4" t="s">
        <v>3916</v>
      </c>
      <c r="G39" s="4" t="s">
        <v>22</v>
      </c>
      <c r="H39" s="4" t="s">
        <v>3917</v>
      </c>
      <c r="I39" s="4" t="s">
        <v>21</v>
      </c>
      <c r="J39" s="4" t="s">
        <v>3904</v>
      </c>
      <c r="K39" s="4" t="s">
        <v>20</v>
      </c>
      <c r="L39" s="4" t="s">
        <v>3905</v>
      </c>
      <c r="M39" s="4" t="s">
        <v>23</v>
      </c>
      <c r="N39" s="7" t="n">
        <v>3</v>
      </c>
      <c r="O39" s="4" t="s">
        <v>3906</v>
      </c>
      <c r="P39" s="10" t="n">
        <v>-0.2866</v>
      </c>
    </row>
    <row r="40" customFormat="false" ht="15" hidden="false" customHeight="false" outlineLevel="0" collapsed="false">
      <c r="A40" s="4" t="s">
        <v>352</v>
      </c>
      <c r="B40" s="7" t="n">
        <v>2022</v>
      </c>
      <c r="C40" s="4" t="s">
        <v>17</v>
      </c>
      <c r="D40" s="4" t="s">
        <v>3901</v>
      </c>
      <c r="E40" s="4" t="s">
        <v>21</v>
      </c>
      <c r="F40" s="4" t="s">
        <v>3902</v>
      </c>
      <c r="G40" s="4" t="s">
        <v>23</v>
      </c>
      <c r="H40" s="4" t="s">
        <v>3903</v>
      </c>
      <c r="I40" s="4" t="s">
        <v>23</v>
      </c>
      <c r="J40" s="4" t="s">
        <v>3904</v>
      </c>
      <c r="K40" s="4" t="s">
        <v>23</v>
      </c>
      <c r="L40" s="4" t="s">
        <v>3905</v>
      </c>
      <c r="M40" s="4" t="s">
        <v>21</v>
      </c>
      <c r="N40" s="7" t="n">
        <v>3</v>
      </c>
      <c r="O40" s="4" t="s">
        <v>3906</v>
      </c>
      <c r="P40" s="10" t="n">
        <v>0.0222</v>
      </c>
    </row>
    <row r="41" customFormat="false" ht="15" hidden="false" customHeight="false" outlineLevel="0" collapsed="false">
      <c r="A41" s="4" t="s">
        <v>360</v>
      </c>
      <c r="B41" s="7" t="n">
        <v>2022</v>
      </c>
      <c r="C41" s="4" t="s">
        <v>14</v>
      </c>
      <c r="D41" s="4" t="s">
        <v>3914</v>
      </c>
      <c r="E41" s="4" t="s">
        <v>22</v>
      </c>
      <c r="F41" s="4" t="s">
        <v>3908</v>
      </c>
      <c r="G41" s="4" t="s">
        <v>21</v>
      </c>
      <c r="H41" s="4" t="s">
        <v>3909</v>
      </c>
      <c r="I41" s="4" t="s">
        <v>23</v>
      </c>
      <c r="J41" s="4" t="s">
        <v>3904</v>
      </c>
      <c r="K41" s="4" t="s">
        <v>21</v>
      </c>
      <c r="L41" s="4" t="s">
        <v>3905</v>
      </c>
      <c r="M41" s="4" t="s">
        <v>22</v>
      </c>
      <c r="N41" s="7" t="n">
        <v>3</v>
      </c>
      <c r="O41" s="4" t="s">
        <v>3906</v>
      </c>
      <c r="P41" s="10" t="n">
        <v>2.2236</v>
      </c>
    </row>
    <row r="42" customFormat="false" ht="15" hidden="false" customHeight="false" outlineLevel="0" collapsed="false">
      <c r="A42" s="4" t="s">
        <v>368</v>
      </c>
      <c r="B42" s="7" t="n">
        <v>2022</v>
      </c>
      <c r="C42" s="4" t="s">
        <v>15</v>
      </c>
      <c r="D42" s="4" t="s">
        <v>3907</v>
      </c>
      <c r="E42" s="4" t="s">
        <v>22</v>
      </c>
      <c r="F42" s="4" t="s">
        <v>3908</v>
      </c>
      <c r="G42" s="4" t="s">
        <v>23</v>
      </c>
      <c r="H42" s="4" t="s">
        <v>3909</v>
      </c>
      <c r="I42" s="4" t="s">
        <v>22</v>
      </c>
      <c r="J42" s="4" t="s">
        <v>3904</v>
      </c>
      <c r="K42" s="4" t="s">
        <v>23</v>
      </c>
      <c r="L42" s="4" t="s">
        <v>3905</v>
      </c>
      <c r="M42" s="4" t="s">
        <v>21</v>
      </c>
      <c r="N42" s="7" t="n">
        <v>3</v>
      </c>
      <c r="O42" s="4" t="s">
        <v>3906</v>
      </c>
      <c r="P42" s="10" t="n">
        <v>0.3399</v>
      </c>
    </row>
    <row r="43" customFormat="false" ht="15" hidden="false" customHeight="false" outlineLevel="0" collapsed="false">
      <c r="A43" s="4" t="s">
        <v>376</v>
      </c>
      <c r="B43" s="7" t="n">
        <v>2025</v>
      </c>
      <c r="C43" s="4" t="s">
        <v>17</v>
      </c>
      <c r="D43" s="4" t="s">
        <v>3901</v>
      </c>
      <c r="E43" s="4" t="s">
        <v>21</v>
      </c>
      <c r="F43" s="4" t="s">
        <v>3902</v>
      </c>
      <c r="G43" s="4" t="s">
        <v>21</v>
      </c>
      <c r="H43" s="4" t="s">
        <v>3903</v>
      </c>
      <c r="I43" s="4" t="s">
        <v>20</v>
      </c>
      <c r="J43" s="4" t="s">
        <v>3904</v>
      </c>
      <c r="K43" s="4" t="s">
        <v>21</v>
      </c>
      <c r="L43" s="4" t="s">
        <v>3905</v>
      </c>
      <c r="M43" s="4" t="s">
        <v>22</v>
      </c>
      <c r="N43" s="7" t="n">
        <v>3</v>
      </c>
      <c r="O43" s="4" t="s">
        <v>3906</v>
      </c>
      <c r="P43" s="10" t="n">
        <v>1.0885</v>
      </c>
    </row>
    <row r="44" customFormat="false" ht="15" hidden="false" customHeight="false" outlineLevel="0" collapsed="false">
      <c r="A44" s="4" t="s">
        <v>384</v>
      </c>
      <c r="B44" s="7" t="n">
        <v>2025</v>
      </c>
      <c r="C44" s="4" t="s">
        <v>18</v>
      </c>
      <c r="D44" s="4" t="s">
        <v>3915</v>
      </c>
      <c r="E44" s="4" t="s">
        <v>23</v>
      </c>
      <c r="F44" s="4" t="s">
        <v>3916</v>
      </c>
      <c r="G44" s="4" t="s">
        <v>22</v>
      </c>
      <c r="H44" s="4" t="s">
        <v>3917</v>
      </c>
      <c r="I44" s="4" t="s">
        <v>22</v>
      </c>
      <c r="J44" s="4" t="s">
        <v>3904</v>
      </c>
      <c r="K44" s="4" t="s">
        <v>20</v>
      </c>
      <c r="L44" s="4" t="s">
        <v>3905</v>
      </c>
      <c r="M44" s="4" t="s">
        <v>21</v>
      </c>
      <c r="N44" s="7" t="n">
        <v>3</v>
      </c>
      <c r="O44" s="4" t="s">
        <v>3906</v>
      </c>
      <c r="P44" s="10" t="n">
        <v>-0.3789</v>
      </c>
    </row>
    <row r="45" customFormat="false" ht="15" hidden="false" customHeight="false" outlineLevel="0" collapsed="false">
      <c r="A45" s="4" t="s">
        <v>392</v>
      </c>
      <c r="B45" s="7" t="n">
        <v>2024</v>
      </c>
      <c r="C45" s="4" t="s">
        <v>15</v>
      </c>
      <c r="D45" s="4" t="s">
        <v>3907</v>
      </c>
      <c r="E45" s="4" t="s">
        <v>23</v>
      </c>
      <c r="F45" s="4" t="s">
        <v>3908</v>
      </c>
      <c r="G45" s="4" t="s">
        <v>22</v>
      </c>
      <c r="H45" s="4" t="s">
        <v>3909</v>
      </c>
      <c r="I45" s="4" t="s">
        <v>21</v>
      </c>
      <c r="J45" s="4" t="s">
        <v>3904</v>
      </c>
      <c r="K45" s="4" t="s">
        <v>22</v>
      </c>
      <c r="L45" s="4" t="s">
        <v>3905</v>
      </c>
      <c r="M45" s="4" t="s">
        <v>22</v>
      </c>
      <c r="N45" s="7" t="n">
        <v>3</v>
      </c>
      <c r="O45" s="4" t="s">
        <v>3906</v>
      </c>
      <c r="P45" s="10" t="n">
        <v>0.5426</v>
      </c>
    </row>
    <row r="46" customFormat="false" ht="15" hidden="false" customHeight="false" outlineLevel="0" collapsed="false">
      <c r="A46" s="4" t="s">
        <v>400</v>
      </c>
      <c r="B46" s="7" t="n">
        <v>2025</v>
      </c>
      <c r="C46" s="4" t="s">
        <v>16</v>
      </c>
      <c r="D46" s="4" t="s">
        <v>3911</v>
      </c>
      <c r="E46" s="4" t="s">
        <v>24</v>
      </c>
      <c r="F46" s="4" t="s">
        <v>3912</v>
      </c>
      <c r="G46" s="4" t="s">
        <v>20</v>
      </c>
      <c r="H46" s="4" t="s">
        <v>3913</v>
      </c>
      <c r="I46" s="4" t="s">
        <v>24</v>
      </c>
      <c r="J46" s="4" t="s">
        <v>3904</v>
      </c>
      <c r="K46" s="4" t="s">
        <v>20</v>
      </c>
      <c r="L46" s="4" t="s">
        <v>3905</v>
      </c>
      <c r="M46" s="4" t="s">
        <v>21</v>
      </c>
      <c r="N46" s="7" t="n">
        <v>1</v>
      </c>
      <c r="O46" s="4" t="s">
        <v>3910</v>
      </c>
      <c r="P46" s="11"/>
    </row>
    <row r="47" customFormat="false" ht="15" hidden="false" customHeight="false" outlineLevel="0" collapsed="false">
      <c r="A47" s="4" t="s">
        <v>408</v>
      </c>
      <c r="B47" s="7" t="n">
        <v>2025</v>
      </c>
      <c r="C47" s="4" t="s">
        <v>14</v>
      </c>
      <c r="D47" s="4" t="s">
        <v>3914</v>
      </c>
      <c r="E47" s="4" t="s">
        <v>22</v>
      </c>
      <c r="F47" s="4" t="s">
        <v>3908</v>
      </c>
      <c r="G47" s="4" t="s">
        <v>21</v>
      </c>
      <c r="H47" s="4" t="s">
        <v>3909</v>
      </c>
      <c r="I47" s="4" t="s">
        <v>22</v>
      </c>
      <c r="J47" s="4" t="s">
        <v>3904</v>
      </c>
      <c r="K47" s="4" t="s">
        <v>23</v>
      </c>
      <c r="L47" s="4" t="s">
        <v>3905</v>
      </c>
      <c r="M47" s="4" t="s">
        <v>21</v>
      </c>
      <c r="N47" s="7" t="n">
        <v>3</v>
      </c>
      <c r="O47" s="4" t="s">
        <v>3906</v>
      </c>
      <c r="P47" s="10" t="n">
        <v>-1.3319</v>
      </c>
    </row>
    <row r="48" customFormat="false" ht="15" hidden="false" customHeight="false" outlineLevel="0" collapsed="false">
      <c r="A48" s="4" t="s">
        <v>416</v>
      </c>
      <c r="B48" s="7" t="n">
        <v>2023</v>
      </c>
      <c r="C48" s="4" t="s">
        <v>16</v>
      </c>
      <c r="D48" s="4" t="s">
        <v>3911</v>
      </c>
      <c r="E48" s="4" t="s">
        <v>21</v>
      </c>
      <c r="F48" s="4" t="s">
        <v>3912</v>
      </c>
      <c r="G48" s="4" t="s">
        <v>21</v>
      </c>
      <c r="H48" s="4" t="s">
        <v>3913</v>
      </c>
      <c r="I48" s="4" t="s">
        <v>22</v>
      </c>
      <c r="J48" s="4" t="s">
        <v>3904</v>
      </c>
      <c r="K48" s="4" t="s">
        <v>21</v>
      </c>
      <c r="L48" s="4" t="s">
        <v>3905</v>
      </c>
      <c r="M48" s="4" t="s">
        <v>21</v>
      </c>
      <c r="N48" s="7" t="n">
        <v>3</v>
      </c>
      <c r="O48" s="4" t="s">
        <v>3906</v>
      </c>
      <c r="P48" s="10" t="n">
        <v>-0.245</v>
      </c>
    </row>
    <row r="49" customFormat="false" ht="15" hidden="false" customHeight="false" outlineLevel="0" collapsed="false">
      <c r="A49" s="4" t="s">
        <v>424</v>
      </c>
      <c r="B49" s="7" t="n">
        <v>2021</v>
      </c>
      <c r="C49" s="4" t="s">
        <v>14</v>
      </c>
      <c r="D49" s="4" t="s">
        <v>3914</v>
      </c>
      <c r="E49" s="4" t="s">
        <v>23</v>
      </c>
      <c r="F49" s="4" t="s">
        <v>3908</v>
      </c>
      <c r="G49" s="4" t="s">
        <v>22</v>
      </c>
      <c r="H49" s="4" t="s">
        <v>3909</v>
      </c>
      <c r="I49" s="4" t="s">
        <v>23</v>
      </c>
      <c r="J49" s="4" t="s">
        <v>3904</v>
      </c>
      <c r="K49" s="4" t="s">
        <v>23</v>
      </c>
      <c r="L49" s="4" t="s">
        <v>3905</v>
      </c>
      <c r="M49" s="4" t="s">
        <v>23</v>
      </c>
      <c r="N49" s="7" t="n">
        <v>3</v>
      </c>
      <c r="O49" s="4" t="s">
        <v>3906</v>
      </c>
      <c r="P49" s="10" t="n">
        <v>-0.2831</v>
      </c>
    </row>
    <row r="50" customFormat="false" ht="15" hidden="false" customHeight="false" outlineLevel="0" collapsed="false">
      <c r="A50" s="4" t="s">
        <v>432</v>
      </c>
      <c r="B50" s="7" t="n">
        <v>2024</v>
      </c>
      <c r="C50" s="4" t="s">
        <v>17</v>
      </c>
      <c r="D50" s="4" t="s">
        <v>3901</v>
      </c>
      <c r="E50" s="4" t="s">
        <v>22</v>
      </c>
      <c r="F50" s="4" t="s">
        <v>3902</v>
      </c>
      <c r="G50" s="4" t="s">
        <v>20</v>
      </c>
      <c r="H50" s="4" t="s">
        <v>3903</v>
      </c>
      <c r="I50" s="4" t="s">
        <v>22</v>
      </c>
      <c r="J50" s="4" t="s">
        <v>3904</v>
      </c>
      <c r="K50" s="4" t="s">
        <v>21</v>
      </c>
      <c r="L50" s="4" t="s">
        <v>3905</v>
      </c>
      <c r="M50" s="4" t="s">
        <v>22</v>
      </c>
      <c r="N50" s="7" t="n">
        <v>3</v>
      </c>
      <c r="O50" s="4" t="s">
        <v>3906</v>
      </c>
      <c r="P50" s="10" t="n">
        <v>1.0337</v>
      </c>
    </row>
    <row r="51" customFormat="false" ht="15" hidden="false" customHeight="false" outlineLevel="0" collapsed="false">
      <c r="A51" s="4" t="s">
        <v>440</v>
      </c>
      <c r="B51" s="7" t="n">
        <v>2025</v>
      </c>
      <c r="C51" s="4" t="s">
        <v>15</v>
      </c>
      <c r="D51" s="4" t="s">
        <v>3907</v>
      </c>
      <c r="E51" s="4" t="s">
        <v>23</v>
      </c>
      <c r="F51" s="4" t="s">
        <v>3908</v>
      </c>
      <c r="G51" s="4" t="s">
        <v>24</v>
      </c>
      <c r="H51" s="4" t="s">
        <v>3909</v>
      </c>
      <c r="I51" s="4" t="s">
        <v>21</v>
      </c>
      <c r="J51" s="4" t="s">
        <v>3904</v>
      </c>
      <c r="K51" s="4" t="s">
        <v>24</v>
      </c>
      <c r="L51" s="4" t="s">
        <v>3905</v>
      </c>
      <c r="M51" s="4" t="s">
        <v>22</v>
      </c>
      <c r="N51" s="7" t="n">
        <v>2</v>
      </c>
      <c r="O51" s="4" t="s">
        <v>3910</v>
      </c>
      <c r="P51" s="11"/>
    </row>
    <row r="52" customFormat="false" ht="15" hidden="false" customHeight="false" outlineLevel="0" collapsed="false">
      <c r="A52" s="4" t="s">
        <v>448</v>
      </c>
      <c r="B52" s="7" t="n">
        <v>2022</v>
      </c>
      <c r="C52" s="4" t="s">
        <v>17</v>
      </c>
      <c r="D52" s="4" t="s">
        <v>3901</v>
      </c>
      <c r="E52" s="4" t="s">
        <v>22</v>
      </c>
      <c r="F52" s="4" t="s">
        <v>3902</v>
      </c>
      <c r="G52" s="4" t="s">
        <v>21</v>
      </c>
      <c r="H52" s="4" t="s">
        <v>3903</v>
      </c>
      <c r="I52" s="4" t="s">
        <v>24</v>
      </c>
      <c r="J52" s="4" t="s">
        <v>3904</v>
      </c>
      <c r="K52" s="4" t="s">
        <v>21</v>
      </c>
      <c r="L52" s="4" t="s">
        <v>3905</v>
      </c>
      <c r="M52" s="4" t="s">
        <v>22</v>
      </c>
      <c r="N52" s="7" t="n">
        <v>2</v>
      </c>
      <c r="O52" s="4" t="s">
        <v>3910</v>
      </c>
      <c r="P52" s="11"/>
    </row>
    <row r="53" customFormat="false" ht="15" hidden="false" customHeight="false" outlineLevel="0" collapsed="false">
      <c r="A53" s="4" t="s">
        <v>456</v>
      </c>
      <c r="B53" s="7" t="n">
        <v>2023</v>
      </c>
      <c r="C53" s="4" t="s">
        <v>14</v>
      </c>
      <c r="D53" s="4" t="s">
        <v>3914</v>
      </c>
      <c r="E53" s="4" t="s">
        <v>24</v>
      </c>
      <c r="F53" s="4" t="s">
        <v>3908</v>
      </c>
      <c r="G53" s="4" t="s">
        <v>24</v>
      </c>
      <c r="H53" s="4" t="s">
        <v>3909</v>
      </c>
      <c r="I53" s="4" t="s">
        <v>22</v>
      </c>
      <c r="J53" s="4" t="s">
        <v>3904</v>
      </c>
      <c r="K53" s="4" t="s">
        <v>20</v>
      </c>
      <c r="L53" s="4" t="s">
        <v>3905</v>
      </c>
      <c r="M53" s="4" t="s">
        <v>21</v>
      </c>
      <c r="N53" s="7" t="n">
        <v>1</v>
      </c>
      <c r="O53" s="4" t="s">
        <v>3910</v>
      </c>
      <c r="P53" s="11"/>
    </row>
    <row r="54" customFormat="false" ht="15" hidden="false" customHeight="false" outlineLevel="0" collapsed="false">
      <c r="A54" s="4" t="s">
        <v>464</v>
      </c>
      <c r="B54" s="7" t="n">
        <v>2023</v>
      </c>
      <c r="C54" s="4" t="s">
        <v>14</v>
      </c>
      <c r="D54" s="4" t="s">
        <v>3914</v>
      </c>
      <c r="E54" s="4" t="s">
        <v>22</v>
      </c>
      <c r="F54" s="4" t="s">
        <v>3908</v>
      </c>
      <c r="G54" s="4" t="s">
        <v>20</v>
      </c>
      <c r="H54" s="4" t="s">
        <v>3909</v>
      </c>
      <c r="I54" s="4" t="s">
        <v>21</v>
      </c>
      <c r="J54" s="4" t="s">
        <v>3904</v>
      </c>
      <c r="K54" s="4" t="s">
        <v>21</v>
      </c>
      <c r="L54" s="4" t="s">
        <v>3905</v>
      </c>
      <c r="M54" s="4" t="s">
        <v>23</v>
      </c>
      <c r="N54" s="7" t="n">
        <v>3</v>
      </c>
      <c r="O54" s="4" t="s">
        <v>3906</v>
      </c>
      <c r="P54" s="10" t="n">
        <v>0.905</v>
      </c>
    </row>
    <row r="55" customFormat="false" ht="15" hidden="false" customHeight="false" outlineLevel="0" collapsed="false">
      <c r="A55" s="4" t="s">
        <v>472</v>
      </c>
      <c r="B55" s="7" t="n">
        <v>2022</v>
      </c>
      <c r="C55" s="4" t="s">
        <v>15</v>
      </c>
      <c r="D55" s="4" t="s">
        <v>3907</v>
      </c>
      <c r="E55" s="4" t="s">
        <v>21</v>
      </c>
      <c r="F55" s="4" t="s">
        <v>3908</v>
      </c>
      <c r="G55" s="4" t="s">
        <v>23</v>
      </c>
      <c r="H55" s="4" t="s">
        <v>3909</v>
      </c>
      <c r="I55" s="4" t="s">
        <v>22</v>
      </c>
      <c r="J55" s="4" t="s">
        <v>3904</v>
      </c>
      <c r="K55" s="4" t="s">
        <v>22</v>
      </c>
      <c r="L55" s="4" t="s">
        <v>3905</v>
      </c>
      <c r="M55" s="4" t="s">
        <v>21</v>
      </c>
      <c r="N55" s="7" t="n">
        <v>3</v>
      </c>
      <c r="O55" s="4" t="s">
        <v>3906</v>
      </c>
      <c r="P55" s="10" t="n">
        <v>-0.0783</v>
      </c>
    </row>
    <row r="56" customFormat="false" ht="15" hidden="false" customHeight="false" outlineLevel="0" collapsed="false">
      <c r="A56" s="4" t="s">
        <v>480</v>
      </c>
      <c r="B56" s="7" t="n">
        <v>2025</v>
      </c>
      <c r="C56" s="4" t="s">
        <v>17</v>
      </c>
      <c r="D56" s="4" t="s">
        <v>3901</v>
      </c>
      <c r="E56" s="4" t="s">
        <v>21</v>
      </c>
      <c r="F56" s="4" t="s">
        <v>3902</v>
      </c>
      <c r="G56" s="4" t="s">
        <v>23</v>
      </c>
      <c r="H56" s="4" t="s">
        <v>3903</v>
      </c>
      <c r="I56" s="4" t="s">
        <v>23</v>
      </c>
      <c r="J56" s="4" t="s">
        <v>3904</v>
      </c>
      <c r="K56" s="4" t="s">
        <v>21</v>
      </c>
      <c r="L56" s="4" t="s">
        <v>3905</v>
      </c>
      <c r="M56" s="4" t="s">
        <v>21</v>
      </c>
      <c r="N56" s="7" t="n">
        <v>3</v>
      </c>
      <c r="O56" s="4" t="s">
        <v>3906</v>
      </c>
      <c r="P56" s="10" t="n">
        <v>-1.4831</v>
      </c>
    </row>
    <row r="57" customFormat="false" ht="15" hidden="false" customHeight="false" outlineLevel="0" collapsed="false">
      <c r="A57" s="4" t="s">
        <v>488</v>
      </c>
      <c r="B57" s="7" t="n">
        <v>2024</v>
      </c>
      <c r="C57" s="4" t="s">
        <v>14</v>
      </c>
      <c r="D57" s="4" t="s">
        <v>3914</v>
      </c>
      <c r="E57" s="4" t="s">
        <v>22</v>
      </c>
      <c r="F57" s="4" t="s">
        <v>3908</v>
      </c>
      <c r="G57" s="4" t="s">
        <v>21</v>
      </c>
      <c r="H57" s="4" t="s">
        <v>3909</v>
      </c>
      <c r="I57" s="4" t="s">
        <v>22</v>
      </c>
      <c r="J57" s="4" t="s">
        <v>3904</v>
      </c>
      <c r="K57" s="4" t="s">
        <v>22</v>
      </c>
      <c r="L57" s="4" t="s">
        <v>3905</v>
      </c>
      <c r="M57" s="4" t="s">
        <v>24</v>
      </c>
      <c r="N57" s="7" t="n">
        <v>3</v>
      </c>
      <c r="O57" s="4" t="s">
        <v>3906</v>
      </c>
      <c r="P57" s="10" t="n">
        <v>2.0366</v>
      </c>
    </row>
    <row r="58" customFormat="false" ht="15" hidden="false" customHeight="false" outlineLevel="0" collapsed="false">
      <c r="A58" s="4" t="s">
        <v>496</v>
      </c>
      <c r="B58" s="7" t="n">
        <v>2024</v>
      </c>
      <c r="C58" s="4" t="s">
        <v>16</v>
      </c>
      <c r="D58" s="4" t="s">
        <v>3911</v>
      </c>
      <c r="E58" s="4" t="s">
        <v>23</v>
      </c>
      <c r="F58" s="4" t="s">
        <v>3912</v>
      </c>
      <c r="G58" s="4" t="s">
        <v>23</v>
      </c>
      <c r="H58" s="4" t="s">
        <v>3913</v>
      </c>
      <c r="I58" s="4" t="s">
        <v>21</v>
      </c>
      <c r="J58" s="4" t="s">
        <v>3904</v>
      </c>
      <c r="K58" s="4" t="s">
        <v>23</v>
      </c>
      <c r="L58" s="4" t="s">
        <v>3905</v>
      </c>
      <c r="M58" s="4" t="s">
        <v>20</v>
      </c>
      <c r="N58" s="7" t="n">
        <v>3</v>
      </c>
      <c r="O58" s="4" t="s">
        <v>3906</v>
      </c>
      <c r="P58" s="10" t="n">
        <v>1.2321</v>
      </c>
    </row>
    <row r="59" customFormat="false" ht="15" hidden="false" customHeight="false" outlineLevel="0" collapsed="false">
      <c r="A59" s="4" t="s">
        <v>504</v>
      </c>
      <c r="B59" s="7" t="n">
        <v>2022</v>
      </c>
      <c r="C59" s="4" t="s">
        <v>15</v>
      </c>
      <c r="D59" s="4" t="s">
        <v>3907</v>
      </c>
      <c r="E59" s="4" t="s">
        <v>22</v>
      </c>
      <c r="F59" s="4" t="s">
        <v>3908</v>
      </c>
      <c r="G59" s="4" t="s">
        <v>21</v>
      </c>
      <c r="H59" s="4" t="s">
        <v>3909</v>
      </c>
      <c r="I59" s="4" t="s">
        <v>20</v>
      </c>
      <c r="J59" s="4" t="s">
        <v>3904</v>
      </c>
      <c r="K59" s="4" t="s">
        <v>23</v>
      </c>
      <c r="L59" s="4" t="s">
        <v>3905</v>
      </c>
      <c r="M59" s="4" t="s">
        <v>23</v>
      </c>
      <c r="N59" s="7" t="n">
        <v>3</v>
      </c>
      <c r="O59" s="4" t="s">
        <v>3906</v>
      </c>
      <c r="P59" s="10" t="n">
        <v>0.0308</v>
      </c>
    </row>
    <row r="60" customFormat="false" ht="15" hidden="false" customHeight="false" outlineLevel="0" collapsed="false">
      <c r="A60" s="4" t="s">
        <v>512</v>
      </c>
      <c r="B60" s="7" t="n">
        <v>2023</v>
      </c>
      <c r="C60" s="4" t="s">
        <v>17</v>
      </c>
      <c r="D60" s="4" t="s">
        <v>3901</v>
      </c>
      <c r="E60" s="4" t="s">
        <v>21</v>
      </c>
      <c r="F60" s="4" t="s">
        <v>3902</v>
      </c>
      <c r="G60" s="4" t="s">
        <v>24</v>
      </c>
      <c r="H60" s="4" t="s">
        <v>3903</v>
      </c>
      <c r="I60" s="4" t="s">
        <v>20</v>
      </c>
      <c r="J60" s="4" t="s">
        <v>3904</v>
      </c>
      <c r="K60" s="4" t="s">
        <v>21</v>
      </c>
      <c r="L60" s="4" t="s">
        <v>3905</v>
      </c>
      <c r="M60" s="4" t="s">
        <v>21</v>
      </c>
      <c r="N60" s="7" t="n">
        <v>2</v>
      </c>
      <c r="O60" s="4" t="s">
        <v>3910</v>
      </c>
      <c r="P60" s="11"/>
    </row>
    <row r="61" customFormat="false" ht="15" hidden="false" customHeight="false" outlineLevel="0" collapsed="false">
      <c r="A61" s="4" t="s">
        <v>519</v>
      </c>
      <c r="B61" s="7" t="n">
        <v>2022</v>
      </c>
      <c r="C61" s="4" t="s">
        <v>17</v>
      </c>
      <c r="D61" s="4" t="s">
        <v>3901</v>
      </c>
      <c r="E61" s="4" t="s">
        <v>22</v>
      </c>
      <c r="F61" s="4" t="s">
        <v>3902</v>
      </c>
      <c r="G61" s="4" t="s">
        <v>23</v>
      </c>
      <c r="H61" s="4" t="s">
        <v>3903</v>
      </c>
      <c r="I61" s="4" t="s">
        <v>20</v>
      </c>
      <c r="J61" s="4" t="s">
        <v>3904</v>
      </c>
      <c r="K61" s="4" t="s">
        <v>20</v>
      </c>
      <c r="L61" s="4" t="s">
        <v>3905</v>
      </c>
      <c r="M61" s="4" t="s">
        <v>23</v>
      </c>
      <c r="N61" s="7" t="n">
        <v>3</v>
      </c>
      <c r="O61" s="4" t="s">
        <v>3906</v>
      </c>
      <c r="P61" s="10" t="n">
        <v>0.7404</v>
      </c>
    </row>
    <row r="62" customFormat="false" ht="15" hidden="false" customHeight="false" outlineLevel="0" collapsed="false">
      <c r="A62" s="4" t="s">
        <v>527</v>
      </c>
      <c r="B62" s="7" t="n">
        <v>2022</v>
      </c>
      <c r="C62" s="4" t="s">
        <v>14</v>
      </c>
      <c r="D62" s="4" t="s">
        <v>3914</v>
      </c>
      <c r="E62" s="4" t="s">
        <v>20</v>
      </c>
      <c r="F62" s="4" t="s">
        <v>3908</v>
      </c>
      <c r="G62" s="4" t="s">
        <v>21</v>
      </c>
      <c r="H62" s="4" t="s">
        <v>3909</v>
      </c>
      <c r="I62" s="4" t="s">
        <v>24</v>
      </c>
      <c r="J62" s="4" t="s">
        <v>3904</v>
      </c>
      <c r="K62" s="4" t="s">
        <v>24</v>
      </c>
      <c r="L62" s="4" t="s">
        <v>3905</v>
      </c>
      <c r="M62" s="4" t="s">
        <v>21</v>
      </c>
      <c r="N62" s="7" t="n">
        <v>2</v>
      </c>
      <c r="O62" s="4" t="s">
        <v>3910</v>
      </c>
      <c r="P62" s="11"/>
    </row>
    <row r="63" customFormat="false" ht="15" hidden="false" customHeight="false" outlineLevel="0" collapsed="false">
      <c r="A63" s="4" t="s">
        <v>535</v>
      </c>
      <c r="B63" s="7" t="n">
        <v>2025</v>
      </c>
      <c r="C63" s="4" t="s">
        <v>16</v>
      </c>
      <c r="D63" s="4" t="s">
        <v>3911</v>
      </c>
      <c r="E63" s="4" t="s">
        <v>22</v>
      </c>
      <c r="F63" s="4" t="s">
        <v>3912</v>
      </c>
      <c r="G63" s="4" t="s">
        <v>23</v>
      </c>
      <c r="H63" s="4" t="s">
        <v>3913</v>
      </c>
      <c r="I63" s="4" t="s">
        <v>21</v>
      </c>
      <c r="J63" s="4" t="s">
        <v>3904</v>
      </c>
      <c r="K63" s="4" t="s">
        <v>21</v>
      </c>
      <c r="L63" s="4" t="s">
        <v>3905</v>
      </c>
      <c r="M63" s="4" t="s">
        <v>23</v>
      </c>
      <c r="N63" s="7" t="n">
        <v>3</v>
      </c>
      <c r="O63" s="4" t="s">
        <v>3906</v>
      </c>
      <c r="P63" s="10" t="n">
        <v>1.8191</v>
      </c>
    </row>
    <row r="64" customFormat="false" ht="15" hidden="false" customHeight="false" outlineLevel="0" collapsed="false">
      <c r="A64" s="4" t="s">
        <v>542</v>
      </c>
      <c r="B64" s="7" t="n">
        <v>2023</v>
      </c>
      <c r="C64" s="4" t="s">
        <v>17</v>
      </c>
      <c r="D64" s="4" t="s">
        <v>3901</v>
      </c>
      <c r="E64" s="4" t="s">
        <v>22</v>
      </c>
      <c r="F64" s="4" t="s">
        <v>3902</v>
      </c>
      <c r="G64" s="4" t="s">
        <v>20</v>
      </c>
      <c r="H64" s="4" t="s">
        <v>3903</v>
      </c>
      <c r="I64" s="4" t="s">
        <v>21</v>
      </c>
      <c r="J64" s="4" t="s">
        <v>3904</v>
      </c>
      <c r="K64" s="4" t="s">
        <v>22</v>
      </c>
      <c r="L64" s="4" t="s">
        <v>3905</v>
      </c>
      <c r="M64" s="4" t="s">
        <v>20</v>
      </c>
      <c r="N64" s="7" t="n">
        <v>3</v>
      </c>
      <c r="O64" s="4" t="s">
        <v>3906</v>
      </c>
      <c r="P64" s="10" t="n">
        <v>0.0235</v>
      </c>
    </row>
    <row r="65" customFormat="false" ht="15" hidden="false" customHeight="false" outlineLevel="0" collapsed="false">
      <c r="A65" s="4" t="s">
        <v>550</v>
      </c>
      <c r="B65" s="7" t="n">
        <v>2023</v>
      </c>
      <c r="C65" s="4" t="s">
        <v>14</v>
      </c>
      <c r="D65" s="4" t="s">
        <v>3914</v>
      </c>
      <c r="E65" s="4" t="s">
        <v>21</v>
      </c>
      <c r="F65" s="4" t="s">
        <v>3908</v>
      </c>
      <c r="G65" s="4" t="s">
        <v>24</v>
      </c>
      <c r="H65" s="4" t="s">
        <v>3909</v>
      </c>
      <c r="I65" s="4" t="s">
        <v>21</v>
      </c>
      <c r="J65" s="4" t="s">
        <v>3904</v>
      </c>
      <c r="K65" s="4" t="s">
        <v>21</v>
      </c>
      <c r="L65" s="4" t="s">
        <v>3905</v>
      </c>
      <c r="M65" s="4" t="s">
        <v>21</v>
      </c>
      <c r="N65" s="7" t="n">
        <v>2</v>
      </c>
      <c r="O65" s="4" t="s">
        <v>3910</v>
      </c>
      <c r="P65" s="11"/>
    </row>
    <row r="66" customFormat="false" ht="15" hidden="false" customHeight="false" outlineLevel="0" collapsed="false">
      <c r="A66" s="4" t="s">
        <v>558</v>
      </c>
      <c r="B66" s="7" t="n">
        <v>2024</v>
      </c>
      <c r="C66" s="4" t="s">
        <v>15</v>
      </c>
      <c r="D66" s="4" t="s">
        <v>3907</v>
      </c>
      <c r="E66" s="4" t="s">
        <v>22</v>
      </c>
      <c r="F66" s="4" t="s">
        <v>3908</v>
      </c>
      <c r="G66" s="4" t="s">
        <v>22</v>
      </c>
      <c r="H66" s="4" t="s">
        <v>3909</v>
      </c>
      <c r="I66" s="4" t="s">
        <v>20</v>
      </c>
      <c r="J66" s="4" t="s">
        <v>3904</v>
      </c>
      <c r="K66" s="4" t="s">
        <v>20</v>
      </c>
      <c r="L66" s="4" t="s">
        <v>3905</v>
      </c>
      <c r="M66" s="4" t="s">
        <v>23</v>
      </c>
      <c r="N66" s="7" t="n">
        <v>3</v>
      </c>
      <c r="O66" s="4" t="s">
        <v>3906</v>
      </c>
      <c r="P66" s="10" t="n">
        <v>-1.0385</v>
      </c>
    </row>
    <row r="67" customFormat="false" ht="15" hidden="false" customHeight="false" outlineLevel="0" collapsed="false">
      <c r="A67" s="4" t="s">
        <v>565</v>
      </c>
      <c r="B67" s="7" t="n">
        <v>2021</v>
      </c>
      <c r="C67" s="4" t="s">
        <v>14</v>
      </c>
      <c r="D67" s="4" t="s">
        <v>3914</v>
      </c>
      <c r="E67" s="4" t="s">
        <v>22</v>
      </c>
      <c r="F67" s="4" t="s">
        <v>3908</v>
      </c>
      <c r="G67" s="4" t="s">
        <v>21</v>
      </c>
      <c r="H67" s="4" t="s">
        <v>3909</v>
      </c>
      <c r="I67" s="4" t="s">
        <v>21</v>
      </c>
      <c r="J67" s="4" t="s">
        <v>3904</v>
      </c>
      <c r="K67" s="4" t="s">
        <v>21</v>
      </c>
      <c r="L67" s="4" t="s">
        <v>3905</v>
      </c>
      <c r="M67" s="4" t="s">
        <v>22</v>
      </c>
      <c r="N67" s="7" t="n">
        <v>3</v>
      </c>
      <c r="O67" s="4" t="s">
        <v>3906</v>
      </c>
      <c r="P67" s="10" t="n">
        <v>-1.2683</v>
      </c>
    </row>
    <row r="68" customFormat="false" ht="15" hidden="false" customHeight="false" outlineLevel="0" collapsed="false">
      <c r="A68" s="4" t="s">
        <v>573</v>
      </c>
      <c r="B68" s="7" t="n">
        <v>2023</v>
      </c>
      <c r="C68" s="4" t="s">
        <v>16</v>
      </c>
      <c r="D68" s="4" t="s">
        <v>3911</v>
      </c>
      <c r="E68" s="4" t="s">
        <v>21</v>
      </c>
      <c r="F68" s="4" t="s">
        <v>3912</v>
      </c>
      <c r="G68" s="4" t="s">
        <v>21</v>
      </c>
      <c r="H68" s="4" t="s">
        <v>3913</v>
      </c>
      <c r="I68" s="4" t="s">
        <v>23</v>
      </c>
      <c r="J68" s="4" t="s">
        <v>3904</v>
      </c>
      <c r="K68" s="4" t="s">
        <v>21</v>
      </c>
      <c r="L68" s="4" t="s">
        <v>3905</v>
      </c>
      <c r="M68" s="4" t="s">
        <v>22</v>
      </c>
      <c r="N68" s="7" t="n">
        <v>3</v>
      </c>
      <c r="O68" s="4" t="s">
        <v>3906</v>
      </c>
      <c r="P68" s="10" t="n">
        <v>1.1731</v>
      </c>
    </row>
    <row r="69" customFormat="false" ht="15" hidden="false" customHeight="false" outlineLevel="0" collapsed="false">
      <c r="A69" s="4" t="s">
        <v>581</v>
      </c>
      <c r="B69" s="7" t="n">
        <v>2022</v>
      </c>
      <c r="C69" s="4" t="s">
        <v>14</v>
      </c>
      <c r="D69" s="4" t="s">
        <v>3914</v>
      </c>
      <c r="E69" s="4" t="s">
        <v>23</v>
      </c>
      <c r="F69" s="4" t="s">
        <v>3908</v>
      </c>
      <c r="G69" s="4" t="s">
        <v>21</v>
      </c>
      <c r="H69" s="4" t="s">
        <v>3909</v>
      </c>
      <c r="I69" s="4" t="s">
        <v>23</v>
      </c>
      <c r="J69" s="4" t="s">
        <v>3904</v>
      </c>
      <c r="K69" s="4" t="s">
        <v>21</v>
      </c>
      <c r="L69" s="4" t="s">
        <v>3905</v>
      </c>
      <c r="M69" s="4" t="s">
        <v>20</v>
      </c>
      <c r="N69" s="7" t="n">
        <v>3</v>
      </c>
      <c r="O69" s="4" t="s">
        <v>3906</v>
      </c>
      <c r="P69" s="10" t="n">
        <v>-1.4932</v>
      </c>
    </row>
    <row r="70" customFormat="false" ht="15" hidden="false" customHeight="false" outlineLevel="0" collapsed="false">
      <c r="A70" s="4" t="s">
        <v>589</v>
      </c>
      <c r="B70" s="7" t="n">
        <v>2024</v>
      </c>
      <c r="C70" s="4" t="s">
        <v>14</v>
      </c>
      <c r="D70" s="4" t="s">
        <v>3914</v>
      </c>
      <c r="E70" s="4" t="s">
        <v>20</v>
      </c>
      <c r="F70" s="4" t="s">
        <v>3908</v>
      </c>
      <c r="G70" s="4" t="s">
        <v>21</v>
      </c>
      <c r="H70" s="4" t="s">
        <v>3909</v>
      </c>
      <c r="I70" s="4" t="s">
        <v>20</v>
      </c>
      <c r="J70" s="4" t="s">
        <v>3904</v>
      </c>
      <c r="K70" s="4" t="s">
        <v>21</v>
      </c>
      <c r="L70" s="4" t="s">
        <v>3905</v>
      </c>
      <c r="M70" s="4" t="s">
        <v>23</v>
      </c>
      <c r="N70" s="7" t="n">
        <v>3</v>
      </c>
      <c r="O70" s="4" t="s">
        <v>3906</v>
      </c>
      <c r="P70" s="10" t="n">
        <v>-0.8886</v>
      </c>
    </row>
    <row r="71" customFormat="false" ht="15" hidden="false" customHeight="false" outlineLevel="0" collapsed="false">
      <c r="A71" s="4" t="s">
        <v>597</v>
      </c>
      <c r="B71" s="7" t="n">
        <v>2024</v>
      </c>
      <c r="C71" s="4" t="s">
        <v>14</v>
      </c>
      <c r="D71" s="4" t="s">
        <v>3914</v>
      </c>
      <c r="E71" s="4" t="s">
        <v>22</v>
      </c>
      <c r="F71" s="4" t="s">
        <v>3908</v>
      </c>
      <c r="G71" s="4" t="s">
        <v>22</v>
      </c>
      <c r="H71" s="4" t="s">
        <v>3909</v>
      </c>
      <c r="I71" s="4" t="s">
        <v>20</v>
      </c>
      <c r="J71" s="4" t="s">
        <v>3904</v>
      </c>
      <c r="K71" s="4" t="s">
        <v>22</v>
      </c>
      <c r="L71" s="4" t="s">
        <v>3905</v>
      </c>
      <c r="M71" s="4" t="s">
        <v>21</v>
      </c>
      <c r="N71" s="7" t="n">
        <v>3</v>
      </c>
      <c r="O71" s="4" t="s">
        <v>3906</v>
      </c>
      <c r="P71" s="10" t="n">
        <v>1.8649</v>
      </c>
    </row>
    <row r="72" customFormat="false" ht="15" hidden="false" customHeight="false" outlineLevel="0" collapsed="false">
      <c r="A72" s="4" t="s">
        <v>605</v>
      </c>
      <c r="B72" s="7" t="n">
        <v>2025</v>
      </c>
      <c r="C72" s="4" t="s">
        <v>15</v>
      </c>
      <c r="D72" s="4" t="s">
        <v>3907</v>
      </c>
      <c r="E72" s="4" t="s">
        <v>24</v>
      </c>
      <c r="F72" s="4" t="s">
        <v>3908</v>
      </c>
      <c r="G72" s="4" t="s">
        <v>21</v>
      </c>
      <c r="H72" s="4" t="s">
        <v>3909</v>
      </c>
      <c r="I72" s="4" t="s">
        <v>24</v>
      </c>
      <c r="J72" s="4" t="s">
        <v>3904</v>
      </c>
      <c r="K72" s="4" t="s">
        <v>22</v>
      </c>
      <c r="L72" s="4" t="s">
        <v>3905</v>
      </c>
      <c r="M72" s="4" t="s">
        <v>23</v>
      </c>
      <c r="N72" s="7" t="n">
        <v>1</v>
      </c>
      <c r="O72" s="4" t="s">
        <v>3910</v>
      </c>
      <c r="P72" s="11"/>
    </row>
    <row r="73" customFormat="false" ht="15" hidden="false" customHeight="false" outlineLevel="0" collapsed="false">
      <c r="A73" s="4" t="s">
        <v>613</v>
      </c>
      <c r="B73" s="7" t="n">
        <v>2021</v>
      </c>
      <c r="C73" s="4" t="s">
        <v>15</v>
      </c>
      <c r="D73" s="4" t="s">
        <v>3907</v>
      </c>
      <c r="E73" s="4" t="s">
        <v>23</v>
      </c>
      <c r="F73" s="4" t="s">
        <v>3908</v>
      </c>
      <c r="G73" s="4" t="s">
        <v>21</v>
      </c>
      <c r="H73" s="4" t="s">
        <v>3909</v>
      </c>
      <c r="I73" s="4" t="s">
        <v>21</v>
      </c>
      <c r="J73" s="4" t="s">
        <v>3904</v>
      </c>
      <c r="K73" s="4" t="s">
        <v>22</v>
      </c>
      <c r="L73" s="4" t="s">
        <v>3905</v>
      </c>
      <c r="M73" s="4" t="s">
        <v>22</v>
      </c>
      <c r="N73" s="7" t="n">
        <v>3</v>
      </c>
      <c r="O73" s="4" t="s">
        <v>3906</v>
      </c>
      <c r="P73" s="10" t="n">
        <v>-1.1268</v>
      </c>
    </row>
    <row r="74" customFormat="false" ht="15" hidden="false" customHeight="false" outlineLevel="0" collapsed="false">
      <c r="A74" s="4" t="s">
        <v>621</v>
      </c>
      <c r="B74" s="7" t="n">
        <v>2023</v>
      </c>
      <c r="C74" s="4" t="s">
        <v>15</v>
      </c>
      <c r="D74" s="4" t="s">
        <v>3907</v>
      </c>
      <c r="E74" s="4" t="s">
        <v>21</v>
      </c>
      <c r="F74" s="4" t="s">
        <v>3908</v>
      </c>
      <c r="G74" s="4" t="s">
        <v>22</v>
      </c>
      <c r="H74" s="4" t="s">
        <v>3909</v>
      </c>
      <c r="I74" s="4" t="s">
        <v>20</v>
      </c>
      <c r="J74" s="4" t="s">
        <v>3904</v>
      </c>
      <c r="K74" s="4" t="s">
        <v>23</v>
      </c>
      <c r="L74" s="4" t="s">
        <v>3905</v>
      </c>
      <c r="M74" s="4" t="s">
        <v>22</v>
      </c>
      <c r="N74" s="7" t="n">
        <v>3</v>
      </c>
      <c r="O74" s="4" t="s">
        <v>3906</v>
      </c>
      <c r="P74" s="10" t="n">
        <v>-0.1709</v>
      </c>
    </row>
    <row r="75" customFormat="false" ht="15" hidden="false" customHeight="false" outlineLevel="0" collapsed="false">
      <c r="A75" s="4" t="s">
        <v>629</v>
      </c>
      <c r="B75" s="7" t="n">
        <v>2022</v>
      </c>
      <c r="C75" s="4" t="s">
        <v>15</v>
      </c>
      <c r="D75" s="4" t="s">
        <v>3907</v>
      </c>
      <c r="E75" s="4" t="s">
        <v>20</v>
      </c>
      <c r="F75" s="4" t="s">
        <v>3908</v>
      </c>
      <c r="G75" s="4" t="s">
        <v>22</v>
      </c>
      <c r="H75" s="4" t="s">
        <v>3909</v>
      </c>
      <c r="I75" s="4" t="s">
        <v>22</v>
      </c>
      <c r="J75" s="4" t="s">
        <v>3904</v>
      </c>
      <c r="K75" s="4" t="s">
        <v>23</v>
      </c>
      <c r="L75" s="4" t="s">
        <v>3905</v>
      </c>
      <c r="M75" s="4" t="s">
        <v>21</v>
      </c>
      <c r="N75" s="7" t="n">
        <v>3</v>
      </c>
      <c r="O75" s="4" t="s">
        <v>3906</v>
      </c>
      <c r="P75" s="10" t="n">
        <v>0.9599</v>
      </c>
    </row>
    <row r="76" customFormat="false" ht="15" hidden="false" customHeight="false" outlineLevel="0" collapsed="false">
      <c r="A76" s="4" t="s">
        <v>637</v>
      </c>
      <c r="B76" s="7" t="n">
        <v>2024</v>
      </c>
      <c r="C76" s="4" t="s">
        <v>16</v>
      </c>
      <c r="D76" s="4" t="s">
        <v>3911</v>
      </c>
      <c r="E76" s="4" t="s">
        <v>21</v>
      </c>
      <c r="F76" s="4" t="s">
        <v>3912</v>
      </c>
      <c r="G76" s="4" t="s">
        <v>23</v>
      </c>
      <c r="H76" s="4" t="s">
        <v>3913</v>
      </c>
      <c r="I76" s="4" t="s">
        <v>21</v>
      </c>
      <c r="J76" s="4" t="s">
        <v>3904</v>
      </c>
      <c r="K76" s="4" t="s">
        <v>23</v>
      </c>
      <c r="L76" s="4" t="s">
        <v>3905</v>
      </c>
      <c r="M76" s="4" t="s">
        <v>21</v>
      </c>
      <c r="N76" s="7" t="n">
        <v>3</v>
      </c>
      <c r="O76" s="4" t="s">
        <v>3906</v>
      </c>
      <c r="P76" s="10" t="n">
        <v>0.7252</v>
      </c>
    </row>
    <row r="77" customFormat="false" ht="15" hidden="false" customHeight="false" outlineLevel="0" collapsed="false">
      <c r="A77" s="4" t="s">
        <v>645</v>
      </c>
      <c r="B77" s="7" t="n">
        <v>2022</v>
      </c>
      <c r="C77" s="4" t="s">
        <v>15</v>
      </c>
      <c r="D77" s="4" t="s">
        <v>3907</v>
      </c>
      <c r="E77" s="4" t="s">
        <v>24</v>
      </c>
      <c r="F77" s="4" t="s">
        <v>3908</v>
      </c>
      <c r="G77" s="4" t="s">
        <v>21</v>
      </c>
      <c r="H77" s="4" t="s">
        <v>3909</v>
      </c>
      <c r="I77" s="4" t="s">
        <v>20</v>
      </c>
      <c r="J77" s="4" t="s">
        <v>3904</v>
      </c>
      <c r="K77" s="4" t="s">
        <v>21</v>
      </c>
      <c r="L77" s="4" t="s">
        <v>3905</v>
      </c>
      <c r="M77" s="4" t="s">
        <v>21</v>
      </c>
      <c r="N77" s="7" t="n">
        <v>2</v>
      </c>
      <c r="O77" s="4" t="s">
        <v>3910</v>
      </c>
      <c r="P77" s="11"/>
    </row>
    <row r="78" customFormat="false" ht="15" hidden="false" customHeight="false" outlineLevel="0" collapsed="false">
      <c r="A78" s="4" t="s">
        <v>652</v>
      </c>
      <c r="B78" s="7" t="n">
        <v>2023</v>
      </c>
      <c r="C78" s="4" t="s">
        <v>14</v>
      </c>
      <c r="D78" s="4" t="s">
        <v>3914</v>
      </c>
      <c r="E78" s="4" t="s">
        <v>22</v>
      </c>
      <c r="F78" s="4" t="s">
        <v>3908</v>
      </c>
      <c r="G78" s="4" t="s">
        <v>20</v>
      </c>
      <c r="H78" s="4" t="s">
        <v>3909</v>
      </c>
      <c r="I78" s="4" t="s">
        <v>21</v>
      </c>
      <c r="J78" s="4" t="s">
        <v>3904</v>
      </c>
      <c r="K78" s="4" t="s">
        <v>22</v>
      </c>
      <c r="L78" s="4" t="s">
        <v>3905</v>
      </c>
      <c r="M78" s="4" t="s">
        <v>20</v>
      </c>
      <c r="N78" s="7" t="n">
        <v>3</v>
      </c>
      <c r="O78" s="4" t="s">
        <v>3906</v>
      </c>
      <c r="P78" s="10" t="n">
        <v>1.8309</v>
      </c>
    </row>
    <row r="79" customFormat="false" ht="15" hidden="false" customHeight="false" outlineLevel="0" collapsed="false">
      <c r="A79" s="4" t="s">
        <v>660</v>
      </c>
      <c r="B79" s="7" t="n">
        <v>2025</v>
      </c>
      <c r="C79" s="4" t="s">
        <v>16</v>
      </c>
      <c r="D79" s="4" t="s">
        <v>3911</v>
      </c>
      <c r="E79" s="4" t="s">
        <v>22</v>
      </c>
      <c r="F79" s="4" t="s">
        <v>3912</v>
      </c>
      <c r="G79" s="4" t="s">
        <v>21</v>
      </c>
      <c r="H79" s="4" t="s">
        <v>3913</v>
      </c>
      <c r="I79" s="4" t="s">
        <v>20</v>
      </c>
      <c r="J79" s="4" t="s">
        <v>3904</v>
      </c>
      <c r="K79" s="4" t="s">
        <v>22</v>
      </c>
      <c r="L79" s="4" t="s">
        <v>3905</v>
      </c>
      <c r="M79" s="4" t="s">
        <v>21</v>
      </c>
      <c r="N79" s="7" t="n">
        <v>3</v>
      </c>
      <c r="O79" s="4" t="s">
        <v>3906</v>
      </c>
      <c r="P79" s="10" t="n">
        <v>2.0459</v>
      </c>
    </row>
    <row r="80" customFormat="false" ht="15" hidden="false" customHeight="false" outlineLevel="0" collapsed="false">
      <c r="A80" s="4" t="s">
        <v>668</v>
      </c>
      <c r="B80" s="7" t="n">
        <v>2023</v>
      </c>
      <c r="C80" s="4" t="s">
        <v>17</v>
      </c>
      <c r="D80" s="4" t="s">
        <v>3901</v>
      </c>
      <c r="E80" s="4" t="s">
        <v>20</v>
      </c>
      <c r="F80" s="4" t="s">
        <v>3902</v>
      </c>
      <c r="G80" s="4" t="s">
        <v>22</v>
      </c>
      <c r="H80" s="4" t="s">
        <v>3903</v>
      </c>
      <c r="I80" s="4" t="s">
        <v>20</v>
      </c>
      <c r="J80" s="4" t="s">
        <v>3904</v>
      </c>
      <c r="K80" s="4" t="s">
        <v>24</v>
      </c>
      <c r="L80" s="4" t="s">
        <v>3905</v>
      </c>
      <c r="M80" s="4" t="s">
        <v>20</v>
      </c>
      <c r="N80" s="7" t="n">
        <v>3</v>
      </c>
      <c r="O80" s="4" t="s">
        <v>3906</v>
      </c>
      <c r="P80" s="10" t="n">
        <v>0.0809</v>
      </c>
    </row>
    <row r="81" customFormat="false" ht="15" hidden="false" customHeight="false" outlineLevel="0" collapsed="false">
      <c r="A81" s="4" t="s">
        <v>676</v>
      </c>
      <c r="B81" s="7" t="n">
        <v>2021</v>
      </c>
      <c r="C81" s="4" t="s">
        <v>16</v>
      </c>
      <c r="D81" s="4" t="s">
        <v>3911</v>
      </c>
      <c r="E81" s="4" t="s">
        <v>24</v>
      </c>
      <c r="F81" s="4" t="s">
        <v>3912</v>
      </c>
      <c r="G81" s="4" t="s">
        <v>20</v>
      </c>
      <c r="H81" s="4" t="s">
        <v>3913</v>
      </c>
      <c r="I81" s="4" t="s">
        <v>21</v>
      </c>
      <c r="J81" s="4" t="s">
        <v>3904</v>
      </c>
      <c r="K81" s="4" t="s">
        <v>22</v>
      </c>
      <c r="L81" s="4" t="s">
        <v>3905</v>
      </c>
      <c r="M81" s="4" t="s">
        <v>21</v>
      </c>
      <c r="N81" s="7" t="n">
        <v>2</v>
      </c>
      <c r="O81" s="4" t="s">
        <v>3910</v>
      </c>
      <c r="P81" s="11"/>
    </row>
    <row r="82" customFormat="false" ht="15" hidden="false" customHeight="false" outlineLevel="0" collapsed="false">
      <c r="A82" s="4" t="s">
        <v>684</v>
      </c>
      <c r="B82" s="7" t="n">
        <v>2021</v>
      </c>
      <c r="C82" s="4" t="s">
        <v>16</v>
      </c>
      <c r="D82" s="4" t="s">
        <v>3911</v>
      </c>
      <c r="E82" s="4" t="s">
        <v>21</v>
      </c>
      <c r="F82" s="4" t="s">
        <v>3912</v>
      </c>
      <c r="G82" s="4" t="s">
        <v>22</v>
      </c>
      <c r="H82" s="4" t="s">
        <v>3913</v>
      </c>
      <c r="I82" s="4" t="s">
        <v>23</v>
      </c>
      <c r="J82" s="4" t="s">
        <v>3904</v>
      </c>
      <c r="K82" s="4" t="s">
        <v>22</v>
      </c>
      <c r="L82" s="4" t="s">
        <v>3905</v>
      </c>
      <c r="M82" s="4" t="s">
        <v>21</v>
      </c>
      <c r="N82" s="7" t="n">
        <v>3</v>
      </c>
      <c r="O82" s="4" t="s">
        <v>3906</v>
      </c>
      <c r="P82" s="10" t="n">
        <v>-1.096</v>
      </c>
    </row>
    <row r="83" customFormat="false" ht="15" hidden="false" customHeight="false" outlineLevel="0" collapsed="false">
      <c r="A83" s="4" t="s">
        <v>692</v>
      </c>
      <c r="B83" s="7" t="n">
        <v>2022</v>
      </c>
      <c r="C83" s="4" t="s">
        <v>18</v>
      </c>
      <c r="D83" s="4" t="s">
        <v>3915</v>
      </c>
      <c r="E83" s="4" t="s">
        <v>20</v>
      </c>
      <c r="F83" s="4" t="s">
        <v>3916</v>
      </c>
      <c r="G83" s="4" t="s">
        <v>22</v>
      </c>
      <c r="H83" s="4" t="s">
        <v>3917</v>
      </c>
      <c r="I83" s="4" t="s">
        <v>23</v>
      </c>
      <c r="J83" s="4" t="s">
        <v>3904</v>
      </c>
      <c r="K83" s="4" t="s">
        <v>22</v>
      </c>
      <c r="L83" s="4" t="s">
        <v>3905</v>
      </c>
      <c r="M83" s="4" t="s">
        <v>23</v>
      </c>
      <c r="N83" s="7" t="n">
        <v>3</v>
      </c>
      <c r="O83" s="4" t="s">
        <v>3906</v>
      </c>
      <c r="P83" s="10" t="n">
        <v>0.5817</v>
      </c>
    </row>
    <row r="84" customFormat="false" ht="15" hidden="false" customHeight="false" outlineLevel="0" collapsed="false">
      <c r="A84" s="4" t="s">
        <v>700</v>
      </c>
      <c r="B84" s="7" t="n">
        <v>2025</v>
      </c>
      <c r="C84" s="4" t="s">
        <v>17</v>
      </c>
      <c r="D84" s="4" t="s">
        <v>3901</v>
      </c>
      <c r="E84" s="4" t="s">
        <v>20</v>
      </c>
      <c r="F84" s="4" t="s">
        <v>3902</v>
      </c>
      <c r="G84" s="4" t="s">
        <v>23</v>
      </c>
      <c r="H84" s="4" t="s">
        <v>3903</v>
      </c>
      <c r="I84" s="4" t="s">
        <v>23</v>
      </c>
      <c r="J84" s="4" t="s">
        <v>3904</v>
      </c>
      <c r="K84" s="4" t="s">
        <v>23</v>
      </c>
      <c r="L84" s="4" t="s">
        <v>3905</v>
      </c>
      <c r="M84" s="4" t="s">
        <v>23</v>
      </c>
      <c r="N84" s="7" t="n">
        <v>3</v>
      </c>
      <c r="O84" s="4" t="s">
        <v>3906</v>
      </c>
      <c r="P84" s="10" t="n">
        <v>0.6328</v>
      </c>
    </row>
    <row r="85" customFormat="false" ht="15" hidden="false" customHeight="false" outlineLevel="0" collapsed="false">
      <c r="A85" s="4" t="s">
        <v>708</v>
      </c>
      <c r="B85" s="7" t="n">
        <v>2025</v>
      </c>
      <c r="C85" s="4" t="s">
        <v>14</v>
      </c>
      <c r="D85" s="4" t="s">
        <v>3914</v>
      </c>
      <c r="E85" s="4" t="s">
        <v>23</v>
      </c>
      <c r="F85" s="4" t="s">
        <v>3908</v>
      </c>
      <c r="G85" s="4" t="s">
        <v>22</v>
      </c>
      <c r="H85" s="4" t="s">
        <v>3909</v>
      </c>
      <c r="I85" s="4" t="s">
        <v>23</v>
      </c>
      <c r="J85" s="4" t="s">
        <v>3904</v>
      </c>
      <c r="K85" s="4" t="s">
        <v>21</v>
      </c>
      <c r="L85" s="4" t="s">
        <v>3905</v>
      </c>
      <c r="M85" s="4" t="s">
        <v>23</v>
      </c>
      <c r="N85" s="7" t="n">
        <v>3</v>
      </c>
      <c r="O85" s="4" t="s">
        <v>3906</v>
      </c>
      <c r="P85" s="10" t="n">
        <v>0.5906</v>
      </c>
    </row>
    <row r="86" customFormat="false" ht="15" hidden="false" customHeight="false" outlineLevel="0" collapsed="false">
      <c r="A86" s="4" t="s">
        <v>716</v>
      </c>
      <c r="B86" s="7" t="n">
        <v>2025</v>
      </c>
      <c r="C86" s="4" t="s">
        <v>14</v>
      </c>
      <c r="D86" s="4" t="s">
        <v>3914</v>
      </c>
      <c r="E86" s="4" t="s">
        <v>20</v>
      </c>
      <c r="F86" s="4" t="s">
        <v>3908</v>
      </c>
      <c r="G86" s="4" t="s">
        <v>22</v>
      </c>
      <c r="H86" s="4" t="s">
        <v>3909</v>
      </c>
      <c r="I86" s="4" t="s">
        <v>23</v>
      </c>
      <c r="J86" s="4" t="s">
        <v>3904</v>
      </c>
      <c r="K86" s="4" t="s">
        <v>22</v>
      </c>
      <c r="L86" s="4" t="s">
        <v>3905</v>
      </c>
      <c r="M86" s="4" t="s">
        <v>22</v>
      </c>
      <c r="N86" s="7" t="n">
        <v>3</v>
      </c>
      <c r="O86" s="4" t="s">
        <v>3906</v>
      </c>
      <c r="P86" s="10" t="n">
        <v>0.3499</v>
      </c>
    </row>
    <row r="87" customFormat="false" ht="15" hidden="false" customHeight="false" outlineLevel="0" collapsed="false">
      <c r="A87" s="4" t="s">
        <v>724</v>
      </c>
      <c r="B87" s="7" t="n">
        <v>2022</v>
      </c>
      <c r="C87" s="4" t="s">
        <v>14</v>
      </c>
      <c r="D87" s="4" t="s">
        <v>3914</v>
      </c>
      <c r="E87" s="4" t="s">
        <v>22</v>
      </c>
      <c r="F87" s="4" t="s">
        <v>3908</v>
      </c>
      <c r="G87" s="4" t="s">
        <v>20</v>
      </c>
      <c r="H87" s="4" t="s">
        <v>3909</v>
      </c>
      <c r="I87" s="4" t="s">
        <v>24</v>
      </c>
      <c r="J87" s="4" t="s">
        <v>3904</v>
      </c>
      <c r="K87" s="4" t="s">
        <v>20</v>
      </c>
      <c r="L87" s="4" t="s">
        <v>3905</v>
      </c>
      <c r="M87" s="4" t="s">
        <v>23</v>
      </c>
      <c r="N87" s="7" t="n">
        <v>2</v>
      </c>
      <c r="O87" s="4" t="s">
        <v>3910</v>
      </c>
      <c r="P87" s="11"/>
    </row>
    <row r="88" customFormat="false" ht="15" hidden="false" customHeight="false" outlineLevel="0" collapsed="false">
      <c r="A88" s="4" t="s">
        <v>732</v>
      </c>
      <c r="B88" s="7" t="n">
        <v>2023</v>
      </c>
      <c r="C88" s="4" t="s">
        <v>18</v>
      </c>
      <c r="D88" s="4" t="s">
        <v>3915</v>
      </c>
      <c r="E88" s="4" t="s">
        <v>21</v>
      </c>
      <c r="F88" s="4" t="s">
        <v>3916</v>
      </c>
      <c r="G88" s="4" t="s">
        <v>23</v>
      </c>
      <c r="H88" s="4" t="s">
        <v>3917</v>
      </c>
      <c r="I88" s="4" t="s">
        <v>23</v>
      </c>
      <c r="J88" s="4" t="s">
        <v>3904</v>
      </c>
      <c r="K88" s="4" t="s">
        <v>23</v>
      </c>
      <c r="L88" s="4" t="s">
        <v>3905</v>
      </c>
      <c r="M88" s="4" t="s">
        <v>24</v>
      </c>
      <c r="N88" s="7" t="n">
        <v>3</v>
      </c>
      <c r="O88" s="4" t="s">
        <v>3906</v>
      </c>
      <c r="P88" s="10" t="n">
        <v>2.2784</v>
      </c>
    </row>
    <row r="89" customFormat="false" ht="15" hidden="false" customHeight="false" outlineLevel="0" collapsed="false">
      <c r="A89" s="4" t="s">
        <v>740</v>
      </c>
      <c r="B89" s="7" t="n">
        <v>2022</v>
      </c>
      <c r="C89" s="4" t="s">
        <v>14</v>
      </c>
      <c r="D89" s="4" t="s">
        <v>3914</v>
      </c>
      <c r="E89" s="4" t="s">
        <v>22</v>
      </c>
      <c r="F89" s="4" t="s">
        <v>3908</v>
      </c>
      <c r="G89" s="4" t="s">
        <v>21</v>
      </c>
      <c r="H89" s="4" t="s">
        <v>3909</v>
      </c>
      <c r="I89" s="4" t="s">
        <v>21</v>
      </c>
      <c r="J89" s="4" t="s">
        <v>3904</v>
      </c>
      <c r="K89" s="4" t="s">
        <v>22</v>
      </c>
      <c r="L89" s="4" t="s">
        <v>3905</v>
      </c>
      <c r="M89" s="4" t="s">
        <v>20</v>
      </c>
      <c r="N89" s="7" t="n">
        <v>3</v>
      </c>
      <c r="O89" s="4" t="s">
        <v>3906</v>
      </c>
      <c r="P89" s="10" t="n">
        <v>0.8052</v>
      </c>
    </row>
    <row r="90" customFormat="false" ht="15" hidden="false" customHeight="false" outlineLevel="0" collapsed="false">
      <c r="A90" s="4" t="s">
        <v>748</v>
      </c>
      <c r="B90" s="7" t="n">
        <v>2022</v>
      </c>
      <c r="C90" s="4" t="s">
        <v>15</v>
      </c>
      <c r="D90" s="4" t="s">
        <v>3907</v>
      </c>
      <c r="E90" s="4" t="s">
        <v>20</v>
      </c>
      <c r="F90" s="4" t="s">
        <v>3908</v>
      </c>
      <c r="G90" s="4" t="s">
        <v>21</v>
      </c>
      <c r="H90" s="4" t="s">
        <v>3909</v>
      </c>
      <c r="I90" s="4" t="s">
        <v>24</v>
      </c>
      <c r="J90" s="4" t="s">
        <v>3904</v>
      </c>
      <c r="K90" s="4" t="s">
        <v>21</v>
      </c>
      <c r="L90" s="4" t="s">
        <v>3905</v>
      </c>
      <c r="M90" s="4" t="s">
        <v>22</v>
      </c>
      <c r="N90" s="7" t="n">
        <v>2</v>
      </c>
      <c r="O90" s="4" t="s">
        <v>3910</v>
      </c>
      <c r="P90" s="11"/>
    </row>
    <row r="91" customFormat="false" ht="15" hidden="false" customHeight="false" outlineLevel="0" collapsed="false">
      <c r="A91" s="4" t="s">
        <v>756</v>
      </c>
      <c r="B91" s="7" t="n">
        <v>2025</v>
      </c>
      <c r="C91" s="4" t="s">
        <v>17</v>
      </c>
      <c r="D91" s="4" t="s">
        <v>3901</v>
      </c>
      <c r="E91" s="4" t="s">
        <v>22</v>
      </c>
      <c r="F91" s="4" t="s">
        <v>3902</v>
      </c>
      <c r="G91" s="4" t="s">
        <v>22</v>
      </c>
      <c r="H91" s="4" t="s">
        <v>3903</v>
      </c>
      <c r="I91" s="4" t="s">
        <v>22</v>
      </c>
      <c r="J91" s="4" t="s">
        <v>3904</v>
      </c>
      <c r="K91" s="4" t="s">
        <v>21</v>
      </c>
      <c r="L91" s="4" t="s">
        <v>3905</v>
      </c>
      <c r="M91" s="4" t="s">
        <v>21</v>
      </c>
      <c r="N91" s="7" t="n">
        <v>3</v>
      </c>
      <c r="O91" s="4" t="s">
        <v>3906</v>
      </c>
      <c r="P91" s="10" t="n">
        <v>-1.014</v>
      </c>
    </row>
    <row r="92" customFormat="false" ht="15" hidden="false" customHeight="false" outlineLevel="0" collapsed="false">
      <c r="A92" s="4" t="s">
        <v>764</v>
      </c>
      <c r="B92" s="7" t="n">
        <v>2022</v>
      </c>
      <c r="C92" s="4" t="s">
        <v>16</v>
      </c>
      <c r="D92" s="4" t="s">
        <v>3911</v>
      </c>
      <c r="E92" s="4" t="s">
        <v>22</v>
      </c>
      <c r="F92" s="4" t="s">
        <v>3912</v>
      </c>
      <c r="G92" s="4" t="s">
        <v>20</v>
      </c>
      <c r="H92" s="4" t="s">
        <v>3913</v>
      </c>
      <c r="I92" s="4" t="s">
        <v>22</v>
      </c>
      <c r="J92" s="4" t="s">
        <v>3904</v>
      </c>
      <c r="K92" s="4" t="s">
        <v>20</v>
      </c>
      <c r="L92" s="4" t="s">
        <v>3905</v>
      </c>
      <c r="M92" s="4" t="s">
        <v>22</v>
      </c>
      <c r="N92" s="7" t="n">
        <v>3</v>
      </c>
      <c r="O92" s="4" t="s">
        <v>3906</v>
      </c>
      <c r="P92" s="10" t="n">
        <v>1.6446</v>
      </c>
    </row>
    <row r="93" customFormat="false" ht="15" hidden="false" customHeight="false" outlineLevel="0" collapsed="false">
      <c r="A93" s="4" t="s">
        <v>772</v>
      </c>
      <c r="B93" s="7" t="n">
        <v>2022</v>
      </c>
      <c r="C93" s="4" t="s">
        <v>14</v>
      </c>
      <c r="D93" s="4" t="s">
        <v>3914</v>
      </c>
      <c r="E93" s="4" t="s">
        <v>23</v>
      </c>
      <c r="F93" s="4" t="s">
        <v>3908</v>
      </c>
      <c r="G93" s="4" t="s">
        <v>21</v>
      </c>
      <c r="H93" s="4" t="s">
        <v>3909</v>
      </c>
      <c r="I93" s="4" t="s">
        <v>23</v>
      </c>
      <c r="J93" s="4" t="s">
        <v>3904</v>
      </c>
      <c r="K93" s="4" t="s">
        <v>22</v>
      </c>
      <c r="L93" s="4" t="s">
        <v>3905</v>
      </c>
      <c r="M93" s="4" t="s">
        <v>21</v>
      </c>
      <c r="N93" s="7" t="n">
        <v>3</v>
      </c>
      <c r="O93" s="4" t="s">
        <v>3906</v>
      </c>
      <c r="P93" s="10" t="n">
        <v>0.6087</v>
      </c>
    </row>
    <row r="94" customFormat="false" ht="15" hidden="false" customHeight="false" outlineLevel="0" collapsed="false">
      <c r="A94" s="4" t="s">
        <v>780</v>
      </c>
      <c r="B94" s="7" t="n">
        <v>2025</v>
      </c>
      <c r="C94" s="4" t="s">
        <v>15</v>
      </c>
      <c r="D94" s="4" t="s">
        <v>3907</v>
      </c>
      <c r="E94" s="4" t="s">
        <v>20</v>
      </c>
      <c r="F94" s="4" t="s">
        <v>3908</v>
      </c>
      <c r="G94" s="4" t="s">
        <v>23</v>
      </c>
      <c r="H94" s="4" t="s">
        <v>3909</v>
      </c>
      <c r="I94" s="4" t="s">
        <v>24</v>
      </c>
      <c r="J94" s="4" t="s">
        <v>3904</v>
      </c>
      <c r="K94" s="4" t="s">
        <v>22</v>
      </c>
      <c r="L94" s="4" t="s">
        <v>3905</v>
      </c>
      <c r="M94" s="4" t="s">
        <v>21</v>
      </c>
      <c r="N94" s="7" t="n">
        <v>2</v>
      </c>
      <c r="O94" s="4" t="s">
        <v>3910</v>
      </c>
      <c r="P94" s="11"/>
    </row>
    <row r="95" customFormat="false" ht="15" hidden="false" customHeight="false" outlineLevel="0" collapsed="false">
      <c r="A95" s="4" t="s">
        <v>788</v>
      </c>
      <c r="B95" s="7" t="n">
        <v>2024</v>
      </c>
      <c r="C95" s="4" t="s">
        <v>14</v>
      </c>
      <c r="D95" s="4" t="s">
        <v>3914</v>
      </c>
      <c r="E95" s="4" t="s">
        <v>20</v>
      </c>
      <c r="F95" s="4" t="s">
        <v>3908</v>
      </c>
      <c r="G95" s="4" t="s">
        <v>21</v>
      </c>
      <c r="H95" s="4" t="s">
        <v>3909</v>
      </c>
      <c r="I95" s="4" t="s">
        <v>24</v>
      </c>
      <c r="J95" s="4" t="s">
        <v>3904</v>
      </c>
      <c r="K95" s="4" t="s">
        <v>23</v>
      </c>
      <c r="L95" s="4" t="s">
        <v>3905</v>
      </c>
      <c r="M95" s="4" t="s">
        <v>24</v>
      </c>
      <c r="N95" s="7" t="n">
        <v>2</v>
      </c>
      <c r="O95" s="4" t="s">
        <v>3910</v>
      </c>
      <c r="P95" s="11"/>
    </row>
    <row r="96" customFormat="false" ht="15" hidden="false" customHeight="false" outlineLevel="0" collapsed="false">
      <c r="A96" s="4" t="s">
        <v>795</v>
      </c>
      <c r="B96" s="7" t="n">
        <v>2023</v>
      </c>
      <c r="C96" s="4" t="s">
        <v>16</v>
      </c>
      <c r="D96" s="4" t="s">
        <v>3911</v>
      </c>
      <c r="E96" s="4" t="s">
        <v>24</v>
      </c>
      <c r="F96" s="4" t="s">
        <v>3912</v>
      </c>
      <c r="G96" s="4" t="s">
        <v>22</v>
      </c>
      <c r="H96" s="4" t="s">
        <v>3913</v>
      </c>
      <c r="I96" s="4" t="s">
        <v>22</v>
      </c>
      <c r="J96" s="4" t="s">
        <v>3904</v>
      </c>
      <c r="K96" s="4" t="s">
        <v>22</v>
      </c>
      <c r="L96" s="4" t="s">
        <v>3905</v>
      </c>
      <c r="M96" s="4" t="s">
        <v>23</v>
      </c>
      <c r="N96" s="7" t="n">
        <v>2</v>
      </c>
      <c r="O96" s="4" t="s">
        <v>3910</v>
      </c>
      <c r="P96" s="11"/>
    </row>
    <row r="97" customFormat="false" ht="15" hidden="false" customHeight="false" outlineLevel="0" collapsed="false">
      <c r="A97" s="4" t="s">
        <v>803</v>
      </c>
      <c r="B97" s="7" t="n">
        <v>2024</v>
      </c>
      <c r="C97" s="4" t="s">
        <v>17</v>
      </c>
      <c r="D97" s="4" t="s">
        <v>3901</v>
      </c>
      <c r="E97" s="4" t="s">
        <v>24</v>
      </c>
      <c r="F97" s="4" t="s">
        <v>3902</v>
      </c>
      <c r="G97" s="4" t="s">
        <v>21</v>
      </c>
      <c r="H97" s="4" t="s">
        <v>3903</v>
      </c>
      <c r="I97" s="4" t="s">
        <v>21</v>
      </c>
      <c r="J97" s="4" t="s">
        <v>3904</v>
      </c>
      <c r="K97" s="4" t="s">
        <v>21</v>
      </c>
      <c r="L97" s="4" t="s">
        <v>3905</v>
      </c>
      <c r="M97" s="4" t="s">
        <v>21</v>
      </c>
      <c r="N97" s="7" t="n">
        <v>2</v>
      </c>
      <c r="O97" s="4" t="s">
        <v>3910</v>
      </c>
      <c r="P97" s="11"/>
    </row>
    <row r="98" customFormat="false" ht="15" hidden="false" customHeight="false" outlineLevel="0" collapsed="false">
      <c r="A98" s="4" t="s">
        <v>811</v>
      </c>
      <c r="B98" s="7" t="n">
        <v>2022</v>
      </c>
      <c r="C98" s="4" t="s">
        <v>17</v>
      </c>
      <c r="D98" s="4" t="s">
        <v>3901</v>
      </c>
      <c r="E98" s="4" t="s">
        <v>21</v>
      </c>
      <c r="F98" s="4" t="s">
        <v>3902</v>
      </c>
      <c r="G98" s="4" t="s">
        <v>22</v>
      </c>
      <c r="H98" s="4" t="s">
        <v>3903</v>
      </c>
      <c r="I98" s="4" t="s">
        <v>22</v>
      </c>
      <c r="J98" s="4" t="s">
        <v>3904</v>
      </c>
      <c r="K98" s="4" t="s">
        <v>20</v>
      </c>
      <c r="L98" s="4" t="s">
        <v>3905</v>
      </c>
      <c r="M98" s="4" t="s">
        <v>23</v>
      </c>
      <c r="N98" s="7" t="n">
        <v>3</v>
      </c>
      <c r="O98" s="4" t="s">
        <v>3906</v>
      </c>
      <c r="P98" s="10" t="n">
        <v>-0.1506</v>
      </c>
    </row>
    <row r="99" customFormat="false" ht="15" hidden="false" customHeight="false" outlineLevel="0" collapsed="false">
      <c r="A99" s="4" t="s">
        <v>819</v>
      </c>
      <c r="B99" s="7" t="n">
        <v>2022</v>
      </c>
      <c r="C99" s="4" t="s">
        <v>15</v>
      </c>
      <c r="D99" s="4" t="s">
        <v>3907</v>
      </c>
      <c r="E99" s="4" t="s">
        <v>24</v>
      </c>
      <c r="F99" s="4" t="s">
        <v>3908</v>
      </c>
      <c r="G99" s="4" t="s">
        <v>22</v>
      </c>
      <c r="H99" s="4" t="s">
        <v>3909</v>
      </c>
      <c r="I99" s="4" t="s">
        <v>20</v>
      </c>
      <c r="J99" s="4" t="s">
        <v>3904</v>
      </c>
      <c r="K99" s="4" t="s">
        <v>23</v>
      </c>
      <c r="L99" s="4" t="s">
        <v>3905</v>
      </c>
      <c r="M99" s="4" t="s">
        <v>22</v>
      </c>
      <c r="N99" s="7" t="n">
        <v>2</v>
      </c>
      <c r="O99" s="4" t="s">
        <v>3910</v>
      </c>
      <c r="P99" s="11"/>
    </row>
    <row r="100" customFormat="false" ht="15" hidden="false" customHeight="false" outlineLevel="0" collapsed="false">
      <c r="A100" s="4" t="s">
        <v>827</v>
      </c>
      <c r="B100" s="7" t="n">
        <v>2024</v>
      </c>
      <c r="C100" s="4" t="s">
        <v>18</v>
      </c>
      <c r="D100" s="4" t="s">
        <v>3915</v>
      </c>
      <c r="E100" s="4" t="s">
        <v>20</v>
      </c>
      <c r="F100" s="4" t="s">
        <v>3916</v>
      </c>
      <c r="G100" s="4" t="s">
        <v>23</v>
      </c>
      <c r="H100" s="4" t="s">
        <v>3917</v>
      </c>
      <c r="I100" s="4" t="s">
        <v>23</v>
      </c>
      <c r="J100" s="4" t="s">
        <v>3904</v>
      </c>
      <c r="K100" s="4" t="s">
        <v>21</v>
      </c>
      <c r="L100" s="4" t="s">
        <v>3905</v>
      </c>
      <c r="M100" s="4" t="s">
        <v>22</v>
      </c>
      <c r="N100" s="7" t="n">
        <v>3</v>
      </c>
      <c r="O100" s="4" t="s">
        <v>3906</v>
      </c>
      <c r="P100" s="10" t="n">
        <v>-1.4684</v>
      </c>
    </row>
    <row r="101" customFormat="false" ht="15" hidden="false" customHeight="false" outlineLevel="0" collapsed="false">
      <c r="A101" s="4" t="s">
        <v>835</v>
      </c>
      <c r="B101" s="7" t="n">
        <v>2022</v>
      </c>
      <c r="C101" s="4" t="s">
        <v>14</v>
      </c>
      <c r="D101" s="4" t="s">
        <v>3914</v>
      </c>
      <c r="E101" s="4" t="s">
        <v>22</v>
      </c>
      <c r="F101" s="4" t="s">
        <v>3908</v>
      </c>
      <c r="G101" s="4" t="s">
        <v>23</v>
      </c>
      <c r="H101" s="4" t="s">
        <v>3909</v>
      </c>
      <c r="I101" s="4" t="s">
        <v>21</v>
      </c>
      <c r="J101" s="4" t="s">
        <v>3904</v>
      </c>
      <c r="K101" s="4" t="s">
        <v>20</v>
      </c>
      <c r="L101" s="4" t="s">
        <v>3905</v>
      </c>
      <c r="M101" s="4" t="s">
        <v>22</v>
      </c>
      <c r="N101" s="7" t="n">
        <v>3</v>
      </c>
      <c r="O101" s="4" t="s">
        <v>3906</v>
      </c>
      <c r="P101" s="10" t="n">
        <v>-0.2007</v>
      </c>
    </row>
    <row r="102" customFormat="false" ht="15" hidden="false" customHeight="false" outlineLevel="0" collapsed="false">
      <c r="A102" s="4" t="s">
        <v>843</v>
      </c>
      <c r="B102" s="7" t="n">
        <v>2024</v>
      </c>
      <c r="C102" s="4" t="s">
        <v>15</v>
      </c>
      <c r="D102" s="4" t="s">
        <v>3907</v>
      </c>
      <c r="E102" s="4" t="s">
        <v>21</v>
      </c>
      <c r="F102" s="4" t="s">
        <v>3908</v>
      </c>
      <c r="G102" s="4" t="s">
        <v>22</v>
      </c>
      <c r="H102" s="4" t="s">
        <v>3909</v>
      </c>
      <c r="I102" s="4" t="s">
        <v>21</v>
      </c>
      <c r="J102" s="4" t="s">
        <v>3904</v>
      </c>
      <c r="K102" s="4" t="s">
        <v>23</v>
      </c>
      <c r="L102" s="4" t="s">
        <v>3905</v>
      </c>
      <c r="M102" s="4" t="s">
        <v>23</v>
      </c>
      <c r="N102" s="7" t="n">
        <v>3</v>
      </c>
      <c r="O102" s="4" t="s">
        <v>3906</v>
      </c>
      <c r="P102" s="10" t="n">
        <v>-0.6724</v>
      </c>
    </row>
    <row r="103" customFormat="false" ht="15" hidden="false" customHeight="false" outlineLevel="0" collapsed="false">
      <c r="A103" s="4" t="s">
        <v>851</v>
      </c>
      <c r="B103" s="7" t="n">
        <v>2023</v>
      </c>
      <c r="C103" s="4" t="s">
        <v>16</v>
      </c>
      <c r="D103" s="4" t="s">
        <v>3911</v>
      </c>
      <c r="E103" s="4" t="s">
        <v>22</v>
      </c>
      <c r="F103" s="4" t="s">
        <v>3912</v>
      </c>
      <c r="G103" s="4" t="s">
        <v>22</v>
      </c>
      <c r="H103" s="4" t="s">
        <v>3913</v>
      </c>
      <c r="I103" s="4" t="s">
        <v>22</v>
      </c>
      <c r="J103" s="4" t="s">
        <v>3904</v>
      </c>
      <c r="K103" s="4" t="s">
        <v>22</v>
      </c>
      <c r="L103" s="4" t="s">
        <v>3905</v>
      </c>
      <c r="M103" s="4" t="s">
        <v>22</v>
      </c>
      <c r="N103" s="7" t="n">
        <v>3</v>
      </c>
      <c r="O103" s="4" t="s">
        <v>3906</v>
      </c>
      <c r="P103" s="10" t="n">
        <v>-0.27</v>
      </c>
    </row>
    <row r="104" customFormat="false" ht="15" hidden="false" customHeight="false" outlineLevel="0" collapsed="false">
      <c r="A104" s="4" t="s">
        <v>859</v>
      </c>
      <c r="B104" s="7" t="n">
        <v>2025</v>
      </c>
      <c r="C104" s="4" t="s">
        <v>14</v>
      </c>
      <c r="D104" s="4" t="s">
        <v>3914</v>
      </c>
      <c r="E104" s="4" t="s">
        <v>22</v>
      </c>
      <c r="F104" s="4" t="s">
        <v>3908</v>
      </c>
      <c r="G104" s="4" t="s">
        <v>23</v>
      </c>
      <c r="H104" s="4" t="s">
        <v>3909</v>
      </c>
      <c r="I104" s="4" t="s">
        <v>22</v>
      </c>
      <c r="J104" s="4" t="s">
        <v>3904</v>
      </c>
      <c r="K104" s="4" t="s">
        <v>22</v>
      </c>
      <c r="L104" s="4" t="s">
        <v>3905</v>
      </c>
      <c r="M104" s="4" t="s">
        <v>22</v>
      </c>
      <c r="N104" s="7" t="n">
        <v>3</v>
      </c>
      <c r="O104" s="4" t="s">
        <v>3906</v>
      </c>
      <c r="P104" s="10" t="n">
        <v>-0.5274</v>
      </c>
    </row>
    <row r="105" customFormat="false" ht="15" hidden="false" customHeight="false" outlineLevel="0" collapsed="false">
      <c r="A105" s="4" t="s">
        <v>866</v>
      </c>
      <c r="B105" s="7" t="n">
        <v>2025</v>
      </c>
      <c r="C105" s="4" t="s">
        <v>15</v>
      </c>
      <c r="D105" s="4" t="s">
        <v>3907</v>
      </c>
      <c r="E105" s="4" t="s">
        <v>22</v>
      </c>
      <c r="F105" s="4" t="s">
        <v>3908</v>
      </c>
      <c r="G105" s="4" t="s">
        <v>22</v>
      </c>
      <c r="H105" s="4" t="s">
        <v>3909</v>
      </c>
      <c r="I105" s="4" t="s">
        <v>22</v>
      </c>
      <c r="J105" s="4" t="s">
        <v>3904</v>
      </c>
      <c r="K105" s="4" t="s">
        <v>22</v>
      </c>
      <c r="L105" s="4" t="s">
        <v>3905</v>
      </c>
      <c r="M105" s="4" t="s">
        <v>22</v>
      </c>
      <c r="N105" s="7" t="n">
        <v>3</v>
      </c>
      <c r="O105" s="4" t="s">
        <v>3906</v>
      </c>
      <c r="P105" s="10" t="n">
        <v>2.0474</v>
      </c>
    </row>
    <row r="106" customFormat="false" ht="15" hidden="false" customHeight="false" outlineLevel="0" collapsed="false">
      <c r="A106" s="4" t="s">
        <v>874</v>
      </c>
      <c r="B106" s="7" t="n">
        <v>2022</v>
      </c>
      <c r="C106" s="4" t="s">
        <v>16</v>
      </c>
      <c r="D106" s="4" t="s">
        <v>3911</v>
      </c>
      <c r="E106" s="4" t="s">
        <v>23</v>
      </c>
      <c r="F106" s="4" t="s">
        <v>3912</v>
      </c>
      <c r="G106" s="4" t="s">
        <v>22</v>
      </c>
      <c r="H106" s="4" t="s">
        <v>3913</v>
      </c>
      <c r="I106" s="4" t="s">
        <v>22</v>
      </c>
      <c r="J106" s="4" t="s">
        <v>3904</v>
      </c>
      <c r="K106" s="4" t="s">
        <v>24</v>
      </c>
      <c r="L106" s="4" t="s">
        <v>3905</v>
      </c>
      <c r="M106" s="4" t="s">
        <v>22</v>
      </c>
      <c r="N106" s="7" t="n">
        <v>3</v>
      </c>
      <c r="O106" s="4" t="s">
        <v>3906</v>
      </c>
      <c r="P106" s="10" t="n">
        <v>-0.3585</v>
      </c>
    </row>
    <row r="107" customFormat="false" ht="15" hidden="false" customHeight="false" outlineLevel="0" collapsed="false">
      <c r="A107" s="4" t="s">
        <v>882</v>
      </c>
      <c r="B107" s="7" t="n">
        <v>2021</v>
      </c>
      <c r="C107" s="4" t="s">
        <v>16</v>
      </c>
      <c r="D107" s="4" t="s">
        <v>3911</v>
      </c>
      <c r="E107" s="4" t="s">
        <v>21</v>
      </c>
      <c r="F107" s="4" t="s">
        <v>3912</v>
      </c>
      <c r="G107" s="4" t="s">
        <v>21</v>
      </c>
      <c r="H107" s="4" t="s">
        <v>3913</v>
      </c>
      <c r="I107" s="4" t="s">
        <v>21</v>
      </c>
      <c r="J107" s="4" t="s">
        <v>3904</v>
      </c>
      <c r="K107" s="4" t="s">
        <v>22</v>
      </c>
      <c r="L107" s="4" t="s">
        <v>3905</v>
      </c>
      <c r="M107" s="4" t="s">
        <v>23</v>
      </c>
      <c r="N107" s="7" t="n">
        <v>3</v>
      </c>
      <c r="O107" s="4" t="s">
        <v>3906</v>
      </c>
      <c r="P107" s="10" t="n">
        <v>0.3275</v>
      </c>
    </row>
    <row r="108" customFormat="false" ht="15" hidden="false" customHeight="false" outlineLevel="0" collapsed="false">
      <c r="A108" s="4" t="s">
        <v>890</v>
      </c>
      <c r="B108" s="7" t="n">
        <v>2021</v>
      </c>
      <c r="C108" s="4" t="s">
        <v>15</v>
      </c>
      <c r="D108" s="4" t="s">
        <v>3907</v>
      </c>
      <c r="E108" s="4" t="s">
        <v>22</v>
      </c>
      <c r="F108" s="4" t="s">
        <v>3908</v>
      </c>
      <c r="G108" s="4" t="s">
        <v>20</v>
      </c>
      <c r="H108" s="4" t="s">
        <v>3909</v>
      </c>
      <c r="I108" s="4" t="s">
        <v>21</v>
      </c>
      <c r="J108" s="4" t="s">
        <v>3904</v>
      </c>
      <c r="K108" s="4" t="s">
        <v>22</v>
      </c>
      <c r="L108" s="4" t="s">
        <v>3905</v>
      </c>
      <c r="M108" s="4" t="s">
        <v>21</v>
      </c>
      <c r="N108" s="7" t="n">
        <v>3</v>
      </c>
      <c r="O108" s="4" t="s">
        <v>3906</v>
      </c>
      <c r="P108" s="10" t="n">
        <v>0.4884</v>
      </c>
    </row>
    <row r="109" customFormat="false" ht="15" hidden="false" customHeight="false" outlineLevel="0" collapsed="false">
      <c r="A109" s="4" t="s">
        <v>898</v>
      </c>
      <c r="B109" s="7" t="n">
        <v>2023</v>
      </c>
      <c r="C109" s="4" t="s">
        <v>15</v>
      </c>
      <c r="D109" s="4" t="s">
        <v>3907</v>
      </c>
      <c r="E109" s="4" t="s">
        <v>22</v>
      </c>
      <c r="F109" s="4" t="s">
        <v>3908</v>
      </c>
      <c r="G109" s="4" t="s">
        <v>22</v>
      </c>
      <c r="H109" s="4" t="s">
        <v>3909</v>
      </c>
      <c r="I109" s="4" t="s">
        <v>20</v>
      </c>
      <c r="J109" s="4" t="s">
        <v>3904</v>
      </c>
      <c r="K109" s="4" t="s">
        <v>24</v>
      </c>
      <c r="L109" s="4" t="s">
        <v>3905</v>
      </c>
      <c r="M109" s="4" t="s">
        <v>21</v>
      </c>
      <c r="N109" s="7" t="n">
        <v>3</v>
      </c>
      <c r="O109" s="4" t="s">
        <v>3906</v>
      </c>
      <c r="P109" s="10" t="n">
        <v>0.3617</v>
      </c>
    </row>
    <row r="110" customFormat="false" ht="15" hidden="false" customHeight="false" outlineLevel="0" collapsed="false">
      <c r="A110" s="4" t="s">
        <v>906</v>
      </c>
      <c r="B110" s="7" t="n">
        <v>2025</v>
      </c>
      <c r="C110" s="4" t="s">
        <v>16</v>
      </c>
      <c r="D110" s="4" t="s">
        <v>3911</v>
      </c>
      <c r="E110" s="4" t="s">
        <v>23</v>
      </c>
      <c r="F110" s="4" t="s">
        <v>3912</v>
      </c>
      <c r="G110" s="4" t="s">
        <v>23</v>
      </c>
      <c r="H110" s="4" t="s">
        <v>3913</v>
      </c>
      <c r="I110" s="4" t="s">
        <v>21</v>
      </c>
      <c r="J110" s="4" t="s">
        <v>3904</v>
      </c>
      <c r="K110" s="4" t="s">
        <v>21</v>
      </c>
      <c r="L110" s="4" t="s">
        <v>3905</v>
      </c>
      <c r="M110" s="4" t="s">
        <v>21</v>
      </c>
      <c r="N110" s="7" t="n">
        <v>3</v>
      </c>
      <c r="O110" s="4" t="s">
        <v>3906</v>
      </c>
      <c r="P110" s="10" t="n">
        <v>2.0483</v>
      </c>
    </row>
    <row r="111" customFormat="false" ht="15" hidden="false" customHeight="false" outlineLevel="0" collapsed="false">
      <c r="A111" s="4" t="s">
        <v>914</v>
      </c>
      <c r="B111" s="7" t="n">
        <v>2024</v>
      </c>
      <c r="C111" s="4" t="s">
        <v>14</v>
      </c>
      <c r="D111" s="4" t="s">
        <v>3914</v>
      </c>
      <c r="E111" s="4" t="s">
        <v>24</v>
      </c>
      <c r="F111" s="4" t="s">
        <v>3908</v>
      </c>
      <c r="G111" s="4" t="s">
        <v>22</v>
      </c>
      <c r="H111" s="4" t="s">
        <v>3909</v>
      </c>
      <c r="I111" s="4" t="s">
        <v>22</v>
      </c>
      <c r="J111" s="4" t="s">
        <v>3904</v>
      </c>
      <c r="K111" s="4" t="s">
        <v>22</v>
      </c>
      <c r="L111" s="4" t="s">
        <v>3905</v>
      </c>
      <c r="M111" s="4" t="s">
        <v>22</v>
      </c>
      <c r="N111" s="7" t="n">
        <v>2</v>
      </c>
      <c r="O111" s="4" t="s">
        <v>3910</v>
      </c>
      <c r="P111" s="11"/>
    </row>
    <row r="112" customFormat="false" ht="15" hidden="false" customHeight="false" outlineLevel="0" collapsed="false">
      <c r="A112" s="4" t="s">
        <v>922</v>
      </c>
      <c r="B112" s="7" t="n">
        <v>2025</v>
      </c>
      <c r="C112" s="4" t="s">
        <v>17</v>
      </c>
      <c r="D112" s="4" t="s">
        <v>3901</v>
      </c>
      <c r="E112" s="4" t="s">
        <v>20</v>
      </c>
      <c r="F112" s="4" t="s">
        <v>3902</v>
      </c>
      <c r="G112" s="4" t="s">
        <v>21</v>
      </c>
      <c r="H112" s="4" t="s">
        <v>3903</v>
      </c>
      <c r="I112" s="4" t="s">
        <v>22</v>
      </c>
      <c r="J112" s="4" t="s">
        <v>3904</v>
      </c>
      <c r="K112" s="4" t="s">
        <v>20</v>
      </c>
      <c r="L112" s="4" t="s">
        <v>3905</v>
      </c>
      <c r="M112" s="4" t="s">
        <v>22</v>
      </c>
      <c r="N112" s="7" t="n">
        <v>3</v>
      </c>
      <c r="O112" s="4" t="s">
        <v>3906</v>
      </c>
      <c r="P112" s="10" t="n">
        <v>1.208</v>
      </c>
    </row>
    <row r="113" customFormat="false" ht="15" hidden="false" customHeight="false" outlineLevel="0" collapsed="false">
      <c r="A113" s="4" t="s">
        <v>929</v>
      </c>
      <c r="B113" s="7" t="n">
        <v>2021</v>
      </c>
      <c r="C113" s="4" t="s">
        <v>16</v>
      </c>
      <c r="D113" s="4" t="s">
        <v>3911</v>
      </c>
      <c r="E113" s="4" t="s">
        <v>20</v>
      </c>
      <c r="F113" s="4" t="s">
        <v>3912</v>
      </c>
      <c r="G113" s="4" t="s">
        <v>22</v>
      </c>
      <c r="H113" s="4" t="s">
        <v>3913</v>
      </c>
      <c r="I113" s="4" t="s">
        <v>22</v>
      </c>
      <c r="J113" s="4" t="s">
        <v>3904</v>
      </c>
      <c r="K113" s="4" t="s">
        <v>23</v>
      </c>
      <c r="L113" s="4" t="s">
        <v>3905</v>
      </c>
      <c r="M113" s="4" t="s">
        <v>22</v>
      </c>
      <c r="N113" s="7" t="n">
        <v>3</v>
      </c>
      <c r="O113" s="4" t="s">
        <v>3906</v>
      </c>
      <c r="P113" s="10" t="n">
        <v>0.3752</v>
      </c>
    </row>
    <row r="114" customFormat="false" ht="15" hidden="false" customHeight="false" outlineLevel="0" collapsed="false">
      <c r="A114" s="4" t="s">
        <v>936</v>
      </c>
      <c r="B114" s="7" t="n">
        <v>2022</v>
      </c>
      <c r="C114" s="4" t="s">
        <v>17</v>
      </c>
      <c r="D114" s="4" t="s">
        <v>3901</v>
      </c>
      <c r="E114" s="4" t="s">
        <v>23</v>
      </c>
      <c r="F114" s="4" t="s">
        <v>3902</v>
      </c>
      <c r="G114" s="4" t="s">
        <v>23</v>
      </c>
      <c r="H114" s="4" t="s">
        <v>3903</v>
      </c>
      <c r="I114" s="4" t="s">
        <v>23</v>
      </c>
      <c r="J114" s="4" t="s">
        <v>3904</v>
      </c>
      <c r="K114" s="4" t="s">
        <v>23</v>
      </c>
      <c r="L114" s="4" t="s">
        <v>3905</v>
      </c>
      <c r="M114" s="4" t="s">
        <v>20</v>
      </c>
      <c r="N114" s="7" t="n">
        <v>3</v>
      </c>
      <c r="O114" s="4" t="s">
        <v>3906</v>
      </c>
      <c r="P114" s="10" t="n">
        <v>0.2891</v>
      </c>
    </row>
    <row r="115" customFormat="false" ht="15" hidden="false" customHeight="false" outlineLevel="0" collapsed="false">
      <c r="A115" s="4" t="s">
        <v>944</v>
      </c>
      <c r="B115" s="7" t="n">
        <v>2023</v>
      </c>
      <c r="C115" s="4" t="s">
        <v>17</v>
      </c>
      <c r="D115" s="4" t="s">
        <v>3901</v>
      </c>
      <c r="E115" s="4" t="s">
        <v>22</v>
      </c>
      <c r="F115" s="4" t="s">
        <v>3902</v>
      </c>
      <c r="G115" s="4" t="s">
        <v>21</v>
      </c>
      <c r="H115" s="4" t="s">
        <v>3903</v>
      </c>
      <c r="I115" s="4" t="s">
        <v>20</v>
      </c>
      <c r="J115" s="4" t="s">
        <v>3904</v>
      </c>
      <c r="K115" s="4" t="s">
        <v>21</v>
      </c>
      <c r="L115" s="4" t="s">
        <v>3905</v>
      </c>
      <c r="M115" s="4" t="s">
        <v>22</v>
      </c>
      <c r="N115" s="7" t="n">
        <v>3</v>
      </c>
      <c r="O115" s="4" t="s">
        <v>3906</v>
      </c>
      <c r="P115" s="10" t="n">
        <v>1.4147</v>
      </c>
    </row>
    <row r="116" customFormat="false" ht="15" hidden="false" customHeight="false" outlineLevel="0" collapsed="false">
      <c r="A116" s="4" t="s">
        <v>952</v>
      </c>
      <c r="B116" s="7" t="n">
        <v>2023</v>
      </c>
      <c r="C116" s="4" t="s">
        <v>14</v>
      </c>
      <c r="D116" s="4" t="s">
        <v>3914</v>
      </c>
      <c r="E116" s="4" t="s">
        <v>21</v>
      </c>
      <c r="F116" s="4" t="s">
        <v>3908</v>
      </c>
      <c r="G116" s="4" t="s">
        <v>20</v>
      </c>
      <c r="H116" s="4" t="s">
        <v>3909</v>
      </c>
      <c r="I116" s="4" t="s">
        <v>24</v>
      </c>
      <c r="J116" s="4" t="s">
        <v>3904</v>
      </c>
      <c r="K116" s="4" t="s">
        <v>22</v>
      </c>
      <c r="L116" s="4" t="s">
        <v>3905</v>
      </c>
      <c r="M116" s="4" t="s">
        <v>23</v>
      </c>
      <c r="N116" s="7" t="n">
        <v>2</v>
      </c>
      <c r="O116" s="4" t="s">
        <v>3910</v>
      </c>
      <c r="P116" s="11"/>
    </row>
    <row r="117" customFormat="false" ht="15" hidden="false" customHeight="false" outlineLevel="0" collapsed="false">
      <c r="A117" s="4" t="s">
        <v>959</v>
      </c>
      <c r="B117" s="7" t="n">
        <v>2023</v>
      </c>
      <c r="C117" s="4" t="s">
        <v>14</v>
      </c>
      <c r="D117" s="4" t="s">
        <v>3914</v>
      </c>
      <c r="E117" s="4" t="s">
        <v>20</v>
      </c>
      <c r="F117" s="4" t="s">
        <v>3908</v>
      </c>
      <c r="G117" s="4" t="s">
        <v>21</v>
      </c>
      <c r="H117" s="4" t="s">
        <v>3909</v>
      </c>
      <c r="I117" s="4" t="s">
        <v>20</v>
      </c>
      <c r="J117" s="4" t="s">
        <v>3904</v>
      </c>
      <c r="K117" s="4" t="s">
        <v>23</v>
      </c>
      <c r="L117" s="4" t="s">
        <v>3905</v>
      </c>
      <c r="M117" s="4" t="s">
        <v>23</v>
      </c>
      <c r="N117" s="7" t="n">
        <v>3</v>
      </c>
      <c r="O117" s="4" t="s">
        <v>3906</v>
      </c>
      <c r="P117" s="10" t="n">
        <v>-0.2335</v>
      </c>
    </row>
    <row r="118" customFormat="false" ht="15" hidden="false" customHeight="false" outlineLevel="0" collapsed="false">
      <c r="A118" s="4" t="s">
        <v>967</v>
      </c>
      <c r="B118" s="7" t="n">
        <v>2022</v>
      </c>
      <c r="C118" s="4" t="s">
        <v>16</v>
      </c>
      <c r="D118" s="4" t="s">
        <v>3911</v>
      </c>
      <c r="E118" s="4" t="s">
        <v>20</v>
      </c>
      <c r="F118" s="4" t="s">
        <v>3912</v>
      </c>
      <c r="G118" s="4" t="s">
        <v>20</v>
      </c>
      <c r="H118" s="4" t="s">
        <v>3913</v>
      </c>
      <c r="I118" s="4" t="s">
        <v>21</v>
      </c>
      <c r="J118" s="4" t="s">
        <v>3904</v>
      </c>
      <c r="K118" s="4" t="s">
        <v>20</v>
      </c>
      <c r="L118" s="4" t="s">
        <v>3905</v>
      </c>
      <c r="M118" s="4" t="s">
        <v>22</v>
      </c>
      <c r="N118" s="7" t="n">
        <v>3</v>
      </c>
      <c r="O118" s="4" t="s">
        <v>3906</v>
      </c>
      <c r="P118" s="10" t="n">
        <v>0.7525</v>
      </c>
    </row>
    <row r="119" customFormat="false" ht="15" hidden="false" customHeight="false" outlineLevel="0" collapsed="false">
      <c r="A119" s="4" t="s">
        <v>975</v>
      </c>
      <c r="B119" s="7" t="n">
        <v>2024</v>
      </c>
      <c r="C119" s="4" t="s">
        <v>15</v>
      </c>
      <c r="D119" s="4" t="s">
        <v>3907</v>
      </c>
      <c r="E119" s="4" t="s">
        <v>22</v>
      </c>
      <c r="F119" s="4" t="s">
        <v>3908</v>
      </c>
      <c r="G119" s="4" t="s">
        <v>23</v>
      </c>
      <c r="H119" s="4" t="s">
        <v>3909</v>
      </c>
      <c r="I119" s="4" t="s">
        <v>22</v>
      </c>
      <c r="J119" s="4" t="s">
        <v>3904</v>
      </c>
      <c r="K119" s="4" t="s">
        <v>21</v>
      </c>
      <c r="L119" s="4" t="s">
        <v>3905</v>
      </c>
      <c r="M119" s="4" t="s">
        <v>21</v>
      </c>
      <c r="N119" s="7" t="n">
        <v>3</v>
      </c>
      <c r="O119" s="4" t="s">
        <v>3906</v>
      </c>
      <c r="P119" s="10" t="n">
        <v>0.8593</v>
      </c>
    </row>
    <row r="120" customFormat="false" ht="15" hidden="false" customHeight="false" outlineLevel="0" collapsed="false">
      <c r="A120" s="4" t="s">
        <v>983</v>
      </c>
      <c r="B120" s="7" t="n">
        <v>2023</v>
      </c>
      <c r="C120" s="4" t="s">
        <v>15</v>
      </c>
      <c r="D120" s="4" t="s">
        <v>3907</v>
      </c>
      <c r="E120" s="4" t="s">
        <v>21</v>
      </c>
      <c r="F120" s="4" t="s">
        <v>3908</v>
      </c>
      <c r="G120" s="4" t="s">
        <v>23</v>
      </c>
      <c r="H120" s="4" t="s">
        <v>3909</v>
      </c>
      <c r="I120" s="4" t="s">
        <v>22</v>
      </c>
      <c r="J120" s="4" t="s">
        <v>3904</v>
      </c>
      <c r="K120" s="4" t="s">
        <v>24</v>
      </c>
      <c r="L120" s="4" t="s">
        <v>3905</v>
      </c>
      <c r="M120" s="4" t="s">
        <v>24</v>
      </c>
      <c r="N120" s="7" t="n">
        <v>3</v>
      </c>
      <c r="O120" s="4" t="s">
        <v>3906</v>
      </c>
      <c r="P120" s="10" t="n">
        <v>1.2276</v>
      </c>
    </row>
    <row r="121" customFormat="false" ht="15" hidden="false" customHeight="false" outlineLevel="0" collapsed="false">
      <c r="A121" s="4" t="s">
        <v>990</v>
      </c>
      <c r="B121" s="7" t="n">
        <v>2025</v>
      </c>
      <c r="C121" s="4" t="s">
        <v>15</v>
      </c>
      <c r="D121" s="4" t="s">
        <v>3907</v>
      </c>
      <c r="E121" s="4" t="s">
        <v>23</v>
      </c>
      <c r="F121" s="4" t="s">
        <v>3908</v>
      </c>
      <c r="G121" s="4" t="s">
        <v>22</v>
      </c>
      <c r="H121" s="4" t="s">
        <v>3909</v>
      </c>
      <c r="I121" s="4" t="s">
        <v>24</v>
      </c>
      <c r="J121" s="4" t="s">
        <v>3904</v>
      </c>
      <c r="K121" s="4" t="s">
        <v>22</v>
      </c>
      <c r="L121" s="4" t="s">
        <v>3905</v>
      </c>
      <c r="M121" s="4" t="s">
        <v>22</v>
      </c>
      <c r="N121" s="7" t="n">
        <v>2</v>
      </c>
      <c r="O121" s="4" t="s">
        <v>3910</v>
      </c>
      <c r="P121" s="11"/>
    </row>
    <row r="122" customFormat="false" ht="15" hidden="false" customHeight="false" outlineLevel="0" collapsed="false">
      <c r="A122" s="4" t="s">
        <v>998</v>
      </c>
      <c r="B122" s="7" t="n">
        <v>2025</v>
      </c>
      <c r="C122" s="4" t="s">
        <v>15</v>
      </c>
      <c r="D122" s="4" t="s">
        <v>3907</v>
      </c>
      <c r="E122" s="4" t="s">
        <v>22</v>
      </c>
      <c r="F122" s="4" t="s">
        <v>3908</v>
      </c>
      <c r="G122" s="4" t="s">
        <v>22</v>
      </c>
      <c r="H122" s="4" t="s">
        <v>3909</v>
      </c>
      <c r="I122" s="4" t="s">
        <v>23</v>
      </c>
      <c r="J122" s="4" t="s">
        <v>3904</v>
      </c>
      <c r="K122" s="4" t="s">
        <v>21</v>
      </c>
      <c r="L122" s="4" t="s">
        <v>3905</v>
      </c>
      <c r="M122" s="4" t="s">
        <v>24</v>
      </c>
      <c r="N122" s="7" t="n">
        <v>3</v>
      </c>
      <c r="O122" s="4" t="s">
        <v>3906</v>
      </c>
      <c r="P122" s="10" t="n">
        <v>1.5332</v>
      </c>
    </row>
    <row r="123" customFormat="false" ht="15" hidden="false" customHeight="false" outlineLevel="0" collapsed="false">
      <c r="A123" s="4" t="s">
        <v>1006</v>
      </c>
      <c r="B123" s="7" t="n">
        <v>2021</v>
      </c>
      <c r="C123" s="4" t="s">
        <v>14</v>
      </c>
      <c r="D123" s="4" t="s">
        <v>3914</v>
      </c>
      <c r="E123" s="4" t="s">
        <v>23</v>
      </c>
      <c r="F123" s="4" t="s">
        <v>3908</v>
      </c>
      <c r="G123" s="4" t="s">
        <v>23</v>
      </c>
      <c r="H123" s="4" t="s">
        <v>3909</v>
      </c>
      <c r="I123" s="4" t="s">
        <v>21</v>
      </c>
      <c r="J123" s="4" t="s">
        <v>3904</v>
      </c>
      <c r="K123" s="4" t="s">
        <v>21</v>
      </c>
      <c r="L123" s="4" t="s">
        <v>3905</v>
      </c>
      <c r="M123" s="4" t="s">
        <v>22</v>
      </c>
      <c r="N123" s="7" t="n">
        <v>3</v>
      </c>
      <c r="O123" s="4" t="s">
        <v>3906</v>
      </c>
      <c r="P123" s="10" t="n">
        <v>1.2588</v>
      </c>
    </row>
    <row r="124" customFormat="false" ht="15" hidden="false" customHeight="false" outlineLevel="0" collapsed="false">
      <c r="A124" s="4" t="s">
        <v>1014</v>
      </c>
      <c r="B124" s="7" t="n">
        <v>2024</v>
      </c>
      <c r="C124" s="4" t="s">
        <v>17</v>
      </c>
      <c r="D124" s="4" t="s">
        <v>3901</v>
      </c>
      <c r="E124" s="4" t="s">
        <v>23</v>
      </c>
      <c r="F124" s="4" t="s">
        <v>3902</v>
      </c>
      <c r="G124" s="4" t="s">
        <v>22</v>
      </c>
      <c r="H124" s="4" t="s">
        <v>3903</v>
      </c>
      <c r="I124" s="4" t="s">
        <v>22</v>
      </c>
      <c r="J124" s="4" t="s">
        <v>3904</v>
      </c>
      <c r="K124" s="4" t="s">
        <v>24</v>
      </c>
      <c r="L124" s="4" t="s">
        <v>3905</v>
      </c>
      <c r="M124" s="4" t="s">
        <v>21</v>
      </c>
      <c r="N124" s="7" t="n">
        <v>3</v>
      </c>
      <c r="O124" s="4" t="s">
        <v>3906</v>
      </c>
      <c r="P124" s="10" t="n">
        <v>-1.4598</v>
      </c>
    </row>
    <row r="125" customFormat="false" ht="15" hidden="false" customHeight="false" outlineLevel="0" collapsed="false">
      <c r="A125" s="4" t="s">
        <v>1022</v>
      </c>
      <c r="B125" s="7" t="n">
        <v>2023</v>
      </c>
      <c r="C125" s="4" t="s">
        <v>14</v>
      </c>
      <c r="D125" s="4" t="s">
        <v>3914</v>
      </c>
      <c r="E125" s="4" t="s">
        <v>22</v>
      </c>
      <c r="F125" s="4" t="s">
        <v>3908</v>
      </c>
      <c r="G125" s="4" t="s">
        <v>24</v>
      </c>
      <c r="H125" s="4" t="s">
        <v>3909</v>
      </c>
      <c r="I125" s="4" t="s">
        <v>21</v>
      </c>
      <c r="J125" s="4" t="s">
        <v>3904</v>
      </c>
      <c r="K125" s="4" t="s">
        <v>21</v>
      </c>
      <c r="L125" s="4" t="s">
        <v>3905</v>
      </c>
      <c r="M125" s="4" t="s">
        <v>24</v>
      </c>
      <c r="N125" s="7" t="n">
        <v>2</v>
      </c>
      <c r="O125" s="4" t="s">
        <v>3910</v>
      </c>
      <c r="P125" s="11"/>
    </row>
    <row r="126" customFormat="false" ht="15" hidden="false" customHeight="false" outlineLevel="0" collapsed="false">
      <c r="A126" s="4" t="s">
        <v>1030</v>
      </c>
      <c r="B126" s="7" t="n">
        <v>2025</v>
      </c>
      <c r="C126" s="4" t="s">
        <v>14</v>
      </c>
      <c r="D126" s="4" t="s">
        <v>3914</v>
      </c>
      <c r="E126" s="4" t="s">
        <v>22</v>
      </c>
      <c r="F126" s="4" t="s">
        <v>3908</v>
      </c>
      <c r="G126" s="4" t="s">
        <v>22</v>
      </c>
      <c r="H126" s="4" t="s">
        <v>3909</v>
      </c>
      <c r="I126" s="4" t="s">
        <v>24</v>
      </c>
      <c r="J126" s="4" t="s">
        <v>3904</v>
      </c>
      <c r="K126" s="4" t="s">
        <v>22</v>
      </c>
      <c r="L126" s="4" t="s">
        <v>3905</v>
      </c>
      <c r="M126" s="4" t="s">
        <v>21</v>
      </c>
      <c r="N126" s="7" t="n">
        <v>2</v>
      </c>
      <c r="O126" s="4" t="s">
        <v>3910</v>
      </c>
      <c r="P126" s="11"/>
    </row>
    <row r="127" customFormat="false" ht="15" hidden="false" customHeight="false" outlineLevel="0" collapsed="false">
      <c r="A127" s="4" t="s">
        <v>1038</v>
      </c>
      <c r="B127" s="7" t="n">
        <v>2023</v>
      </c>
      <c r="C127" s="4" t="s">
        <v>17</v>
      </c>
      <c r="D127" s="4" t="s">
        <v>3901</v>
      </c>
      <c r="E127" s="4" t="s">
        <v>20</v>
      </c>
      <c r="F127" s="4" t="s">
        <v>3902</v>
      </c>
      <c r="G127" s="4" t="s">
        <v>22</v>
      </c>
      <c r="H127" s="4" t="s">
        <v>3903</v>
      </c>
      <c r="I127" s="4" t="s">
        <v>21</v>
      </c>
      <c r="J127" s="4" t="s">
        <v>3904</v>
      </c>
      <c r="K127" s="4" t="s">
        <v>22</v>
      </c>
      <c r="L127" s="4" t="s">
        <v>3905</v>
      </c>
      <c r="M127" s="4" t="s">
        <v>23</v>
      </c>
      <c r="N127" s="7" t="n">
        <v>3</v>
      </c>
      <c r="O127" s="4" t="s">
        <v>3906</v>
      </c>
      <c r="P127" s="10" t="n">
        <v>0.2074</v>
      </c>
    </row>
    <row r="128" customFormat="false" ht="15" hidden="false" customHeight="false" outlineLevel="0" collapsed="false">
      <c r="A128" s="4" t="s">
        <v>1046</v>
      </c>
      <c r="B128" s="7" t="n">
        <v>2022</v>
      </c>
      <c r="C128" s="4" t="s">
        <v>15</v>
      </c>
      <c r="D128" s="4" t="s">
        <v>3907</v>
      </c>
      <c r="E128" s="4" t="s">
        <v>23</v>
      </c>
      <c r="F128" s="4" t="s">
        <v>3908</v>
      </c>
      <c r="G128" s="4" t="s">
        <v>23</v>
      </c>
      <c r="H128" s="4" t="s">
        <v>3909</v>
      </c>
      <c r="I128" s="4" t="s">
        <v>23</v>
      </c>
      <c r="J128" s="4" t="s">
        <v>3904</v>
      </c>
      <c r="K128" s="4" t="s">
        <v>22</v>
      </c>
      <c r="L128" s="4" t="s">
        <v>3905</v>
      </c>
      <c r="M128" s="4" t="s">
        <v>21</v>
      </c>
      <c r="N128" s="7" t="n">
        <v>3</v>
      </c>
      <c r="O128" s="4" t="s">
        <v>3906</v>
      </c>
      <c r="P128" s="10" t="n">
        <v>-1.0412</v>
      </c>
    </row>
    <row r="129" customFormat="false" ht="15" hidden="false" customHeight="false" outlineLevel="0" collapsed="false">
      <c r="A129" s="4" t="s">
        <v>1054</v>
      </c>
      <c r="B129" s="7" t="n">
        <v>2025</v>
      </c>
      <c r="C129" s="4" t="s">
        <v>14</v>
      </c>
      <c r="D129" s="4" t="s">
        <v>3914</v>
      </c>
      <c r="E129" s="4" t="s">
        <v>21</v>
      </c>
      <c r="F129" s="4" t="s">
        <v>3908</v>
      </c>
      <c r="G129" s="4" t="s">
        <v>20</v>
      </c>
      <c r="H129" s="4" t="s">
        <v>3909</v>
      </c>
      <c r="I129" s="4" t="s">
        <v>21</v>
      </c>
      <c r="J129" s="4" t="s">
        <v>3904</v>
      </c>
      <c r="K129" s="4" t="s">
        <v>20</v>
      </c>
      <c r="L129" s="4" t="s">
        <v>3905</v>
      </c>
      <c r="M129" s="4" t="s">
        <v>22</v>
      </c>
      <c r="N129" s="7" t="n">
        <v>3</v>
      </c>
      <c r="O129" s="4" t="s">
        <v>3906</v>
      </c>
      <c r="P129" s="10" t="n">
        <v>-1.1364</v>
      </c>
    </row>
    <row r="130" customFormat="false" ht="15" hidden="false" customHeight="false" outlineLevel="0" collapsed="false">
      <c r="A130" s="4" t="s">
        <v>1062</v>
      </c>
      <c r="B130" s="7" t="n">
        <v>2024</v>
      </c>
      <c r="C130" s="4" t="s">
        <v>16</v>
      </c>
      <c r="D130" s="4" t="s">
        <v>3911</v>
      </c>
      <c r="E130" s="4" t="s">
        <v>21</v>
      </c>
      <c r="F130" s="4" t="s">
        <v>3912</v>
      </c>
      <c r="G130" s="4" t="s">
        <v>22</v>
      </c>
      <c r="H130" s="4" t="s">
        <v>3913</v>
      </c>
      <c r="I130" s="4" t="s">
        <v>21</v>
      </c>
      <c r="J130" s="4" t="s">
        <v>3904</v>
      </c>
      <c r="K130" s="4" t="s">
        <v>23</v>
      </c>
      <c r="L130" s="4" t="s">
        <v>3905</v>
      </c>
      <c r="M130" s="4" t="s">
        <v>21</v>
      </c>
      <c r="N130" s="7" t="n">
        <v>3</v>
      </c>
      <c r="O130" s="4" t="s">
        <v>3906</v>
      </c>
      <c r="P130" s="10" t="n">
        <v>-1.1274</v>
      </c>
    </row>
    <row r="131" customFormat="false" ht="15" hidden="false" customHeight="false" outlineLevel="0" collapsed="false">
      <c r="A131" s="4" t="s">
        <v>1070</v>
      </c>
      <c r="B131" s="7" t="n">
        <v>2022</v>
      </c>
      <c r="C131" s="4" t="s">
        <v>14</v>
      </c>
      <c r="D131" s="4" t="s">
        <v>3914</v>
      </c>
      <c r="E131" s="4" t="s">
        <v>23</v>
      </c>
      <c r="F131" s="4" t="s">
        <v>3908</v>
      </c>
      <c r="G131" s="4" t="s">
        <v>20</v>
      </c>
      <c r="H131" s="4" t="s">
        <v>3909</v>
      </c>
      <c r="I131" s="4" t="s">
        <v>23</v>
      </c>
      <c r="J131" s="4" t="s">
        <v>3904</v>
      </c>
      <c r="K131" s="4" t="s">
        <v>22</v>
      </c>
      <c r="L131" s="4" t="s">
        <v>3905</v>
      </c>
      <c r="M131" s="4" t="s">
        <v>24</v>
      </c>
      <c r="N131" s="7" t="n">
        <v>3</v>
      </c>
      <c r="O131" s="4" t="s">
        <v>3906</v>
      </c>
      <c r="P131" s="10" t="n">
        <v>0.748</v>
      </c>
    </row>
    <row r="132" customFormat="false" ht="15" hidden="false" customHeight="false" outlineLevel="0" collapsed="false">
      <c r="A132" s="4" t="s">
        <v>1078</v>
      </c>
      <c r="B132" s="7" t="n">
        <v>2025</v>
      </c>
      <c r="C132" s="4" t="s">
        <v>17</v>
      </c>
      <c r="D132" s="4" t="s">
        <v>3901</v>
      </c>
      <c r="E132" s="4" t="s">
        <v>23</v>
      </c>
      <c r="F132" s="4" t="s">
        <v>3902</v>
      </c>
      <c r="G132" s="4" t="s">
        <v>21</v>
      </c>
      <c r="H132" s="4" t="s">
        <v>3903</v>
      </c>
      <c r="I132" s="4" t="s">
        <v>23</v>
      </c>
      <c r="J132" s="4" t="s">
        <v>3904</v>
      </c>
      <c r="K132" s="4" t="s">
        <v>21</v>
      </c>
      <c r="L132" s="4" t="s">
        <v>3905</v>
      </c>
      <c r="M132" s="4" t="s">
        <v>22</v>
      </c>
      <c r="N132" s="7" t="n">
        <v>3</v>
      </c>
      <c r="O132" s="4" t="s">
        <v>3906</v>
      </c>
      <c r="P132" s="10" t="n">
        <v>0.9069</v>
      </c>
    </row>
    <row r="133" customFormat="false" ht="15" hidden="false" customHeight="false" outlineLevel="0" collapsed="false">
      <c r="A133" s="4" t="s">
        <v>1086</v>
      </c>
      <c r="B133" s="7" t="n">
        <v>2022</v>
      </c>
      <c r="C133" s="4" t="s">
        <v>18</v>
      </c>
      <c r="D133" s="4" t="s">
        <v>3915</v>
      </c>
      <c r="E133" s="4" t="s">
        <v>23</v>
      </c>
      <c r="F133" s="4" t="s">
        <v>3916</v>
      </c>
      <c r="G133" s="4" t="s">
        <v>22</v>
      </c>
      <c r="H133" s="4" t="s">
        <v>3917</v>
      </c>
      <c r="I133" s="4" t="s">
        <v>22</v>
      </c>
      <c r="J133" s="4" t="s">
        <v>3904</v>
      </c>
      <c r="K133" s="4" t="s">
        <v>23</v>
      </c>
      <c r="L133" s="4" t="s">
        <v>3905</v>
      </c>
      <c r="M133" s="4" t="s">
        <v>23</v>
      </c>
      <c r="N133" s="7" t="n">
        <v>3</v>
      </c>
      <c r="O133" s="4" t="s">
        <v>3906</v>
      </c>
      <c r="P133" s="10" t="n">
        <v>0.2175</v>
      </c>
    </row>
    <row r="134" customFormat="false" ht="15" hidden="false" customHeight="false" outlineLevel="0" collapsed="false">
      <c r="A134" s="4" t="s">
        <v>1094</v>
      </c>
      <c r="B134" s="7" t="n">
        <v>2021</v>
      </c>
      <c r="C134" s="4" t="s">
        <v>14</v>
      </c>
      <c r="D134" s="4" t="s">
        <v>3914</v>
      </c>
      <c r="E134" s="4" t="s">
        <v>22</v>
      </c>
      <c r="F134" s="4" t="s">
        <v>3908</v>
      </c>
      <c r="G134" s="4" t="s">
        <v>22</v>
      </c>
      <c r="H134" s="4" t="s">
        <v>3909</v>
      </c>
      <c r="I134" s="4" t="s">
        <v>22</v>
      </c>
      <c r="J134" s="4" t="s">
        <v>3904</v>
      </c>
      <c r="K134" s="4" t="s">
        <v>22</v>
      </c>
      <c r="L134" s="4" t="s">
        <v>3905</v>
      </c>
      <c r="M134" s="4" t="s">
        <v>22</v>
      </c>
      <c r="N134" s="7" t="n">
        <v>3</v>
      </c>
      <c r="O134" s="4" t="s">
        <v>3906</v>
      </c>
      <c r="P134" s="10" t="n">
        <v>0.6556</v>
      </c>
    </row>
    <row r="135" customFormat="false" ht="15" hidden="false" customHeight="false" outlineLevel="0" collapsed="false">
      <c r="A135" s="4" t="s">
        <v>1102</v>
      </c>
      <c r="B135" s="7" t="n">
        <v>2022</v>
      </c>
      <c r="C135" s="4" t="s">
        <v>14</v>
      </c>
      <c r="D135" s="4" t="s">
        <v>3914</v>
      </c>
      <c r="E135" s="4" t="s">
        <v>20</v>
      </c>
      <c r="F135" s="4" t="s">
        <v>3908</v>
      </c>
      <c r="G135" s="4" t="s">
        <v>23</v>
      </c>
      <c r="H135" s="4" t="s">
        <v>3909</v>
      </c>
      <c r="I135" s="4" t="s">
        <v>24</v>
      </c>
      <c r="J135" s="4" t="s">
        <v>3904</v>
      </c>
      <c r="K135" s="4" t="s">
        <v>21</v>
      </c>
      <c r="L135" s="4" t="s">
        <v>3905</v>
      </c>
      <c r="M135" s="4" t="s">
        <v>22</v>
      </c>
      <c r="N135" s="7" t="n">
        <v>2</v>
      </c>
      <c r="O135" s="4" t="s">
        <v>3910</v>
      </c>
      <c r="P135" s="11"/>
    </row>
    <row r="136" customFormat="false" ht="15" hidden="false" customHeight="false" outlineLevel="0" collapsed="false">
      <c r="A136" s="4" t="s">
        <v>1110</v>
      </c>
      <c r="B136" s="7" t="n">
        <v>2024</v>
      </c>
      <c r="C136" s="4" t="s">
        <v>14</v>
      </c>
      <c r="D136" s="4" t="s">
        <v>3914</v>
      </c>
      <c r="E136" s="4" t="s">
        <v>21</v>
      </c>
      <c r="F136" s="4" t="s">
        <v>3908</v>
      </c>
      <c r="G136" s="4" t="s">
        <v>20</v>
      </c>
      <c r="H136" s="4" t="s">
        <v>3909</v>
      </c>
      <c r="I136" s="4" t="s">
        <v>21</v>
      </c>
      <c r="J136" s="4" t="s">
        <v>3904</v>
      </c>
      <c r="K136" s="4" t="s">
        <v>21</v>
      </c>
      <c r="L136" s="4" t="s">
        <v>3905</v>
      </c>
      <c r="M136" s="4" t="s">
        <v>21</v>
      </c>
      <c r="N136" s="7" t="n">
        <v>3</v>
      </c>
      <c r="O136" s="4" t="s">
        <v>3906</v>
      </c>
      <c r="P136" s="10" t="n">
        <v>0.6319</v>
      </c>
    </row>
    <row r="137" customFormat="false" ht="15" hidden="false" customHeight="false" outlineLevel="0" collapsed="false">
      <c r="A137" s="4" t="s">
        <v>1118</v>
      </c>
      <c r="B137" s="7" t="n">
        <v>2025</v>
      </c>
      <c r="C137" s="4" t="s">
        <v>14</v>
      </c>
      <c r="D137" s="4" t="s">
        <v>3914</v>
      </c>
      <c r="E137" s="4" t="s">
        <v>24</v>
      </c>
      <c r="F137" s="4" t="s">
        <v>3908</v>
      </c>
      <c r="G137" s="4" t="s">
        <v>23</v>
      </c>
      <c r="H137" s="4" t="s">
        <v>3909</v>
      </c>
      <c r="I137" s="4" t="s">
        <v>22</v>
      </c>
      <c r="J137" s="4" t="s">
        <v>3904</v>
      </c>
      <c r="K137" s="4" t="s">
        <v>22</v>
      </c>
      <c r="L137" s="4" t="s">
        <v>3905</v>
      </c>
      <c r="M137" s="4" t="s">
        <v>23</v>
      </c>
      <c r="N137" s="7" t="n">
        <v>2</v>
      </c>
      <c r="O137" s="4" t="s">
        <v>3910</v>
      </c>
      <c r="P137" s="11"/>
    </row>
    <row r="138" customFormat="false" ht="15" hidden="false" customHeight="false" outlineLevel="0" collapsed="false">
      <c r="A138" s="4" t="s">
        <v>1126</v>
      </c>
      <c r="B138" s="7" t="n">
        <v>2023</v>
      </c>
      <c r="C138" s="4" t="s">
        <v>16</v>
      </c>
      <c r="D138" s="4" t="s">
        <v>3911</v>
      </c>
      <c r="E138" s="4" t="s">
        <v>21</v>
      </c>
      <c r="F138" s="4" t="s">
        <v>3912</v>
      </c>
      <c r="G138" s="4" t="s">
        <v>22</v>
      </c>
      <c r="H138" s="4" t="s">
        <v>3913</v>
      </c>
      <c r="I138" s="4" t="s">
        <v>23</v>
      </c>
      <c r="J138" s="4" t="s">
        <v>3904</v>
      </c>
      <c r="K138" s="4" t="s">
        <v>22</v>
      </c>
      <c r="L138" s="4" t="s">
        <v>3905</v>
      </c>
      <c r="M138" s="4" t="s">
        <v>20</v>
      </c>
      <c r="N138" s="7" t="n">
        <v>3</v>
      </c>
      <c r="O138" s="4" t="s">
        <v>3906</v>
      </c>
      <c r="P138" s="10" t="n">
        <v>-0.2741</v>
      </c>
    </row>
    <row r="139" customFormat="false" ht="15" hidden="false" customHeight="false" outlineLevel="0" collapsed="false">
      <c r="A139" s="4" t="s">
        <v>1134</v>
      </c>
      <c r="B139" s="7" t="n">
        <v>2024</v>
      </c>
      <c r="C139" s="4" t="s">
        <v>16</v>
      </c>
      <c r="D139" s="4" t="s">
        <v>3911</v>
      </c>
      <c r="E139" s="4" t="s">
        <v>23</v>
      </c>
      <c r="F139" s="4" t="s">
        <v>3912</v>
      </c>
      <c r="G139" s="4" t="s">
        <v>20</v>
      </c>
      <c r="H139" s="4" t="s">
        <v>3913</v>
      </c>
      <c r="I139" s="4" t="s">
        <v>21</v>
      </c>
      <c r="J139" s="4" t="s">
        <v>3904</v>
      </c>
      <c r="K139" s="4" t="s">
        <v>20</v>
      </c>
      <c r="L139" s="4" t="s">
        <v>3905</v>
      </c>
      <c r="M139" s="4" t="s">
        <v>20</v>
      </c>
      <c r="N139" s="7" t="n">
        <v>3</v>
      </c>
      <c r="O139" s="4" t="s">
        <v>3906</v>
      </c>
      <c r="P139" s="10" t="n">
        <v>-1.2013</v>
      </c>
    </row>
    <row r="140" customFormat="false" ht="15" hidden="false" customHeight="false" outlineLevel="0" collapsed="false">
      <c r="A140" s="4" t="s">
        <v>1142</v>
      </c>
      <c r="B140" s="7" t="n">
        <v>2023</v>
      </c>
      <c r="C140" s="4" t="s">
        <v>14</v>
      </c>
      <c r="D140" s="4" t="s">
        <v>3914</v>
      </c>
      <c r="E140" s="4" t="s">
        <v>23</v>
      </c>
      <c r="F140" s="4" t="s">
        <v>3908</v>
      </c>
      <c r="G140" s="4" t="s">
        <v>22</v>
      </c>
      <c r="H140" s="4" t="s">
        <v>3909</v>
      </c>
      <c r="I140" s="4" t="s">
        <v>22</v>
      </c>
      <c r="J140" s="4" t="s">
        <v>3904</v>
      </c>
      <c r="K140" s="4" t="s">
        <v>24</v>
      </c>
      <c r="L140" s="4" t="s">
        <v>3905</v>
      </c>
      <c r="M140" s="4" t="s">
        <v>20</v>
      </c>
      <c r="N140" s="7" t="n">
        <v>3</v>
      </c>
      <c r="O140" s="4" t="s">
        <v>3906</v>
      </c>
      <c r="P140" s="10" t="n">
        <v>1.3653</v>
      </c>
    </row>
    <row r="141" customFormat="false" ht="15" hidden="false" customHeight="false" outlineLevel="0" collapsed="false">
      <c r="A141" s="4" t="s">
        <v>1149</v>
      </c>
      <c r="B141" s="7" t="n">
        <v>2022</v>
      </c>
      <c r="C141" s="4" t="s">
        <v>14</v>
      </c>
      <c r="D141" s="4" t="s">
        <v>3914</v>
      </c>
      <c r="E141" s="4" t="s">
        <v>22</v>
      </c>
      <c r="F141" s="4" t="s">
        <v>3908</v>
      </c>
      <c r="G141" s="4" t="s">
        <v>21</v>
      </c>
      <c r="H141" s="4" t="s">
        <v>3909</v>
      </c>
      <c r="I141" s="4" t="s">
        <v>23</v>
      </c>
      <c r="J141" s="4" t="s">
        <v>3904</v>
      </c>
      <c r="K141" s="4" t="s">
        <v>21</v>
      </c>
      <c r="L141" s="4" t="s">
        <v>3905</v>
      </c>
      <c r="M141" s="4" t="s">
        <v>20</v>
      </c>
      <c r="N141" s="7" t="n">
        <v>3</v>
      </c>
      <c r="O141" s="4" t="s">
        <v>3906</v>
      </c>
      <c r="P141" s="10" t="n">
        <v>1.696</v>
      </c>
    </row>
    <row r="142" customFormat="false" ht="15" hidden="false" customHeight="false" outlineLevel="0" collapsed="false">
      <c r="A142" s="4" t="s">
        <v>1157</v>
      </c>
      <c r="B142" s="7" t="n">
        <v>2022</v>
      </c>
      <c r="C142" s="4" t="s">
        <v>16</v>
      </c>
      <c r="D142" s="4" t="s">
        <v>3911</v>
      </c>
      <c r="E142" s="4" t="s">
        <v>21</v>
      </c>
      <c r="F142" s="4" t="s">
        <v>3912</v>
      </c>
      <c r="G142" s="4" t="s">
        <v>22</v>
      </c>
      <c r="H142" s="4" t="s">
        <v>3913</v>
      </c>
      <c r="I142" s="4" t="s">
        <v>22</v>
      </c>
      <c r="J142" s="4" t="s">
        <v>3904</v>
      </c>
      <c r="K142" s="4" t="s">
        <v>20</v>
      </c>
      <c r="L142" s="4" t="s">
        <v>3905</v>
      </c>
      <c r="M142" s="4" t="s">
        <v>20</v>
      </c>
      <c r="N142" s="7" t="n">
        <v>3</v>
      </c>
      <c r="O142" s="4" t="s">
        <v>3906</v>
      </c>
      <c r="P142" s="10" t="n">
        <v>-1.2992</v>
      </c>
    </row>
    <row r="143" customFormat="false" ht="15" hidden="false" customHeight="false" outlineLevel="0" collapsed="false">
      <c r="A143" s="4" t="s">
        <v>1165</v>
      </c>
      <c r="B143" s="7" t="n">
        <v>2024</v>
      </c>
      <c r="C143" s="4" t="s">
        <v>16</v>
      </c>
      <c r="D143" s="4" t="s">
        <v>3911</v>
      </c>
      <c r="E143" s="4" t="s">
        <v>22</v>
      </c>
      <c r="F143" s="4" t="s">
        <v>3912</v>
      </c>
      <c r="G143" s="4" t="s">
        <v>20</v>
      </c>
      <c r="H143" s="4" t="s">
        <v>3913</v>
      </c>
      <c r="I143" s="4" t="s">
        <v>22</v>
      </c>
      <c r="J143" s="4" t="s">
        <v>3904</v>
      </c>
      <c r="K143" s="4" t="s">
        <v>22</v>
      </c>
      <c r="L143" s="4" t="s">
        <v>3905</v>
      </c>
      <c r="M143" s="4" t="s">
        <v>22</v>
      </c>
      <c r="N143" s="7" t="n">
        <v>3</v>
      </c>
      <c r="O143" s="4" t="s">
        <v>3906</v>
      </c>
      <c r="P143" s="10" t="n">
        <v>0.6744</v>
      </c>
    </row>
    <row r="144" customFormat="false" ht="15" hidden="false" customHeight="false" outlineLevel="0" collapsed="false">
      <c r="A144" s="4" t="s">
        <v>1173</v>
      </c>
      <c r="B144" s="7" t="n">
        <v>2021</v>
      </c>
      <c r="C144" s="4" t="s">
        <v>17</v>
      </c>
      <c r="D144" s="4" t="s">
        <v>3901</v>
      </c>
      <c r="E144" s="4" t="s">
        <v>21</v>
      </c>
      <c r="F144" s="4" t="s">
        <v>3902</v>
      </c>
      <c r="G144" s="4" t="s">
        <v>22</v>
      </c>
      <c r="H144" s="4" t="s">
        <v>3903</v>
      </c>
      <c r="I144" s="4" t="s">
        <v>23</v>
      </c>
      <c r="J144" s="4" t="s">
        <v>3904</v>
      </c>
      <c r="K144" s="4" t="s">
        <v>22</v>
      </c>
      <c r="L144" s="4" t="s">
        <v>3905</v>
      </c>
      <c r="M144" s="4" t="s">
        <v>24</v>
      </c>
      <c r="N144" s="7" t="n">
        <v>3</v>
      </c>
      <c r="O144" s="4" t="s">
        <v>3906</v>
      </c>
      <c r="P144" s="10" t="n">
        <v>-0.4868</v>
      </c>
    </row>
    <row r="145" customFormat="false" ht="15" hidden="false" customHeight="false" outlineLevel="0" collapsed="false">
      <c r="A145" s="4" t="s">
        <v>1180</v>
      </c>
      <c r="B145" s="7" t="n">
        <v>2022</v>
      </c>
      <c r="C145" s="4" t="s">
        <v>17</v>
      </c>
      <c r="D145" s="4" t="s">
        <v>3901</v>
      </c>
      <c r="E145" s="4" t="s">
        <v>22</v>
      </c>
      <c r="F145" s="4" t="s">
        <v>3902</v>
      </c>
      <c r="G145" s="4" t="s">
        <v>21</v>
      </c>
      <c r="H145" s="4" t="s">
        <v>3903</v>
      </c>
      <c r="I145" s="4" t="s">
        <v>22</v>
      </c>
      <c r="J145" s="4" t="s">
        <v>3904</v>
      </c>
      <c r="K145" s="4" t="s">
        <v>21</v>
      </c>
      <c r="L145" s="4" t="s">
        <v>3905</v>
      </c>
      <c r="M145" s="4" t="s">
        <v>21</v>
      </c>
      <c r="N145" s="7" t="n">
        <v>3</v>
      </c>
      <c r="O145" s="4" t="s">
        <v>3906</v>
      </c>
      <c r="P145" s="10" t="n">
        <v>-0.5452</v>
      </c>
    </row>
    <row r="146" customFormat="false" ht="15" hidden="false" customHeight="false" outlineLevel="0" collapsed="false">
      <c r="A146" s="4" t="s">
        <v>1187</v>
      </c>
      <c r="B146" s="7" t="n">
        <v>2023</v>
      </c>
      <c r="C146" s="4" t="s">
        <v>14</v>
      </c>
      <c r="D146" s="4" t="s">
        <v>3914</v>
      </c>
      <c r="E146" s="4" t="s">
        <v>21</v>
      </c>
      <c r="F146" s="4" t="s">
        <v>3908</v>
      </c>
      <c r="G146" s="4" t="s">
        <v>20</v>
      </c>
      <c r="H146" s="4" t="s">
        <v>3909</v>
      </c>
      <c r="I146" s="4" t="s">
        <v>23</v>
      </c>
      <c r="J146" s="4" t="s">
        <v>3904</v>
      </c>
      <c r="K146" s="4" t="s">
        <v>21</v>
      </c>
      <c r="L146" s="4" t="s">
        <v>3905</v>
      </c>
      <c r="M146" s="4" t="s">
        <v>22</v>
      </c>
      <c r="N146" s="7" t="n">
        <v>3</v>
      </c>
      <c r="O146" s="4" t="s">
        <v>3906</v>
      </c>
      <c r="P146" s="10" t="n">
        <v>0.9483</v>
      </c>
    </row>
    <row r="147" customFormat="false" ht="15" hidden="false" customHeight="false" outlineLevel="0" collapsed="false">
      <c r="A147" s="4" t="s">
        <v>1195</v>
      </c>
      <c r="B147" s="7" t="n">
        <v>2023</v>
      </c>
      <c r="C147" s="4" t="s">
        <v>14</v>
      </c>
      <c r="D147" s="4" t="s">
        <v>3914</v>
      </c>
      <c r="E147" s="4" t="s">
        <v>22</v>
      </c>
      <c r="F147" s="4" t="s">
        <v>3908</v>
      </c>
      <c r="G147" s="4" t="s">
        <v>21</v>
      </c>
      <c r="H147" s="4" t="s">
        <v>3909</v>
      </c>
      <c r="I147" s="4" t="s">
        <v>24</v>
      </c>
      <c r="J147" s="4" t="s">
        <v>3904</v>
      </c>
      <c r="K147" s="4" t="s">
        <v>21</v>
      </c>
      <c r="L147" s="4" t="s">
        <v>3905</v>
      </c>
      <c r="M147" s="4" t="s">
        <v>21</v>
      </c>
      <c r="N147" s="7" t="n">
        <v>2</v>
      </c>
      <c r="O147" s="4" t="s">
        <v>3910</v>
      </c>
      <c r="P147" s="11"/>
    </row>
    <row r="148" customFormat="false" ht="15" hidden="false" customHeight="false" outlineLevel="0" collapsed="false">
      <c r="A148" s="4" t="s">
        <v>1203</v>
      </c>
      <c r="B148" s="7" t="n">
        <v>2021</v>
      </c>
      <c r="C148" s="4" t="s">
        <v>18</v>
      </c>
      <c r="D148" s="4" t="s">
        <v>3915</v>
      </c>
      <c r="E148" s="4" t="s">
        <v>20</v>
      </c>
      <c r="F148" s="4" t="s">
        <v>3916</v>
      </c>
      <c r="G148" s="4" t="s">
        <v>21</v>
      </c>
      <c r="H148" s="4" t="s">
        <v>3917</v>
      </c>
      <c r="I148" s="4" t="s">
        <v>23</v>
      </c>
      <c r="J148" s="4" t="s">
        <v>3904</v>
      </c>
      <c r="K148" s="4" t="s">
        <v>22</v>
      </c>
      <c r="L148" s="4" t="s">
        <v>3905</v>
      </c>
      <c r="M148" s="4" t="s">
        <v>21</v>
      </c>
      <c r="N148" s="7" t="n">
        <v>3</v>
      </c>
      <c r="O148" s="4" t="s">
        <v>3906</v>
      </c>
      <c r="P148" s="10" t="n">
        <v>1.1418</v>
      </c>
    </row>
    <row r="149" customFormat="false" ht="15" hidden="false" customHeight="false" outlineLevel="0" collapsed="false">
      <c r="A149" s="4" t="s">
        <v>1211</v>
      </c>
      <c r="B149" s="7" t="n">
        <v>2023</v>
      </c>
      <c r="C149" s="4" t="s">
        <v>14</v>
      </c>
      <c r="D149" s="4" t="s">
        <v>3914</v>
      </c>
      <c r="E149" s="4" t="s">
        <v>21</v>
      </c>
      <c r="F149" s="4" t="s">
        <v>3908</v>
      </c>
      <c r="G149" s="4" t="s">
        <v>21</v>
      </c>
      <c r="H149" s="4" t="s">
        <v>3909</v>
      </c>
      <c r="I149" s="4" t="s">
        <v>20</v>
      </c>
      <c r="J149" s="4" t="s">
        <v>3904</v>
      </c>
      <c r="K149" s="4" t="s">
        <v>21</v>
      </c>
      <c r="L149" s="4" t="s">
        <v>3905</v>
      </c>
      <c r="M149" s="4" t="s">
        <v>24</v>
      </c>
      <c r="N149" s="7" t="n">
        <v>3</v>
      </c>
      <c r="O149" s="4" t="s">
        <v>3906</v>
      </c>
      <c r="P149" s="10" t="n">
        <v>-1.0541</v>
      </c>
    </row>
    <row r="150" customFormat="false" ht="15" hidden="false" customHeight="false" outlineLevel="0" collapsed="false">
      <c r="A150" s="4" t="s">
        <v>1219</v>
      </c>
      <c r="B150" s="7" t="n">
        <v>2022</v>
      </c>
      <c r="C150" s="4" t="s">
        <v>14</v>
      </c>
      <c r="D150" s="4" t="s">
        <v>3914</v>
      </c>
      <c r="E150" s="4" t="s">
        <v>20</v>
      </c>
      <c r="F150" s="4" t="s">
        <v>3908</v>
      </c>
      <c r="G150" s="4" t="s">
        <v>20</v>
      </c>
      <c r="H150" s="4" t="s">
        <v>3909</v>
      </c>
      <c r="I150" s="4" t="s">
        <v>21</v>
      </c>
      <c r="J150" s="4" t="s">
        <v>3904</v>
      </c>
      <c r="K150" s="4" t="s">
        <v>21</v>
      </c>
      <c r="L150" s="4" t="s">
        <v>3905</v>
      </c>
      <c r="M150" s="4" t="s">
        <v>24</v>
      </c>
      <c r="N150" s="7" t="n">
        <v>3</v>
      </c>
      <c r="O150" s="4" t="s">
        <v>3906</v>
      </c>
      <c r="P150" s="10" t="n">
        <v>2.2876</v>
      </c>
    </row>
    <row r="151" customFormat="false" ht="15" hidden="false" customHeight="false" outlineLevel="0" collapsed="false">
      <c r="A151" s="4" t="s">
        <v>1227</v>
      </c>
      <c r="B151" s="7" t="n">
        <v>2022</v>
      </c>
      <c r="C151" s="4" t="s">
        <v>15</v>
      </c>
      <c r="D151" s="4" t="s">
        <v>3907</v>
      </c>
      <c r="E151" s="4" t="s">
        <v>21</v>
      </c>
      <c r="F151" s="4" t="s">
        <v>3908</v>
      </c>
      <c r="G151" s="4" t="s">
        <v>20</v>
      </c>
      <c r="H151" s="4" t="s">
        <v>3909</v>
      </c>
      <c r="I151" s="4" t="s">
        <v>21</v>
      </c>
      <c r="J151" s="4" t="s">
        <v>3904</v>
      </c>
      <c r="K151" s="4" t="s">
        <v>22</v>
      </c>
      <c r="L151" s="4" t="s">
        <v>3905</v>
      </c>
      <c r="M151" s="4" t="s">
        <v>21</v>
      </c>
      <c r="N151" s="7" t="n">
        <v>3</v>
      </c>
      <c r="O151" s="4" t="s">
        <v>3906</v>
      </c>
      <c r="P151" s="10" t="n">
        <v>2.2818</v>
      </c>
    </row>
    <row r="152" customFormat="false" ht="15" hidden="false" customHeight="false" outlineLevel="0" collapsed="false">
      <c r="A152" s="4" t="s">
        <v>1235</v>
      </c>
      <c r="B152" s="7" t="n">
        <v>2025</v>
      </c>
      <c r="C152" s="4" t="s">
        <v>18</v>
      </c>
      <c r="D152" s="4" t="s">
        <v>3915</v>
      </c>
      <c r="E152" s="4" t="s">
        <v>22</v>
      </c>
      <c r="F152" s="4" t="s">
        <v>3916</v>
      </c>
      <c r="G152" s="4" t="s">
        <v>21</v>
      </c>
      <c r="H152" s="4" t="s">
        <v>3917</v>
      </c>
      <c r="I152" s="4" t="s">
        <v>20</v>
      </c>
      <c r="J152" s="4" t="s">
        <v>3904</v>
      </c>
      <c r="K152" s="4" t="s">
        <v>22</v>
      </c>
      <c r="L152" s="4" t="s">
        <v>3905</v>
      </c>
      <c r="M152" s="4" t="s">
        <v>22</v>
      </c>
      <c r="N152" s="7" t="n">
        <v>3</v>
      </c>
      <c r="O152" s="4" t="s">
        <v>3906</v>
      </c>
      <c r="P152" s="10" t="n">
        <v>2.1002</v>
      </c>
    </row>
    <row r="153" customFormat="false" ht="15" hidden="false" customHeight="false" outlineLevel="0" collapsed="false">
      <c r="A153" s="4" t="s">
        <v>1243</v>
      </c>
      <c r="B153" s="7" t="n">
        <v>2021</v>
      </c>
      <c r="C153" s="4" t="s">
        <v>16</v>
      </c>
      <c r="D153" s="4" t="s">
        <v>3911</v>
      </c>
      <c r="E153" s="4" t="s">
        <v>23</v>
      </c>
      <c r="F153" s="4" t="s">
        <v>3912</v>
      </c>
      <c r="G153" s="4" t="s">
        <v>22</v>
      </c>
      <c r="H153" s="4" t="s">
        <v>3913</v>
      </c>
      <c r="I153" s="4" t="s">
        <v>21</v>
      </c>
      <c r="J153" s="4" t="s">
        <v>3904</v>
      </c>
      <c r="K153" s="4" t="s">
        <v>21</v>
      </c>
      <c r="L153" s="4" t="s">
        <v>3905</v>
      </c>
      <c r="M153" s="4" t="s">
        <v>20</v>
      </c>
      <c r="N153" s="7" t="n">
        <v>3</v>
      </c>
      <c r="O153" s="4" t="s">
        <v>3906</v>
      </c>
      <c r="P153" s="10" t="n">
        <v>-0.2014</v>
      </c>
    </row>
    <row r="154" customFormat="false" ht="15" hidden="false" customHeight="false" outlineLevel="0" collapsed="false">
      <c r="A154" s="4" t="s">
        <v>1251</v>
      </c>
      <c r="B154" s="7" t="n">
        <v>2022</v>
      </c>
      <c r="C154" s="4" t="s">
        <v>14</v>
      </c>
      <c r="D154" s="4" t="s">
        <v>3914</v>
      </c>
      <c r="E154" s="4" t="s">
        <v>23</v>
      </c>
      <c r="F154" s="4" t="s">
        <v>3908</v>
      </c>
      <c r="G154" s="4" t="s">
        <v>21</v>
      </c>
      <c r="H154" s="4" t="s">
        <v>3909</v>
      </c>
      <c r="I154" s="4" t="s">
        <v>22</v>
      </c>
      <c r="J154" s="4" t="s">
        <v>3904</v>
      </c>
      <c r="K154" s="4" t="s">
        <v>22</v>
      </c>
      <c r="L154" s="4" t="s">
        <v>3905</v>
      </c>
      <c r="M154" s="4" t="s">
        <v>22</v>
      </c>
      <c r="N154" s="7" t="n">
        <v>3</v>
      </c>
      <c r="O154" s="4" t="s">
        <v>3906</v>
      </c>
      <c r="P154" s="10" t="n">
        <v>0.8705</v>
      </c>
    </row>
    <row r="155" customFormat="false" ht="15" hidden="false" customHeight="false" outlineLevel="0" collapsed="false">
      <c r="A155" s="4" t="s">
        <v>1259</v>
      </c>
      <c r="B155" s="7" t="n">
        <v>2021</v>
      </c>
      <c r="C155" s="4" t="s">
        <v>16</v>
      </c>
      <c r="D155" s="4" t="s">
        <v>3911</v>
      </c>
      <c r="E155" s="4" t="s">
        <v>21</v>
      </c>
      <c r="F155" s="4" t="s">
        <v>3912</v>
      </c>
      <c r="G155" s="4" t="s">
        <v>22</v>
      </c>
      <c r="H155" s="4" t="s">
        <v>3913</v>
      </c>
      <c r="I155" s="4" t="s">
        <v>23</v>
      </c>
      <c r="J155" s="4" t="s">
        <v>3904</v>
      </c>
      <c r="K155" s="4" t="s">
        <v>21</v>
      </c>
      <c r="L155" s="4" t="s">
        <v>3905</v>
      </c>
      <c r="M155" s="4" t="s">
        <v>21</v>
      </c>
      <c r="N155" s="7" t="n">
        <v>3</v>
      </c>
      <c r="O155" s="4" t="s">
        <v>3906</v>
      </c>
      <c r="P155" s="10" t="n">
        <v>0.261</v>
      </c>
    </row>
    <row r="156" customFormat="false" ht="15" hidden="false" customHeight="false" outlineLevel="0" collapsed="false">
      <c r="A156" s="4" t="s">
        <v>1267</v>
      </c>
      <c r="B156" s="7" t="n">
        <v>2021</v>
      </c>
      <c r="C156" s="4" t="s">
        <v>17</v>
      </c>
      <c r="D156" s="4" t="s">
        <v>3901</v>
      </c>
      <c r="E156" s="4" t="s">
        <v>22</v>
      </c>
      <c r="F156" s="4" t="s">
        <v>3902</v>
      </c>
      <c r="G156" s="4" t="s">
        <v>22</v>
      </c>
      <c r="H156" s="4" t="s">
        <v>3903</v>
      </c>
      <c r="I156" s="4" t="s">
        <v>21</v>
      </c>
      <c r="J156" s="4" t="s">
        <v>3904</v>
      </c>
      <c r="K156" s="4" t="s">
        <v>21</v>
      </c>
      <c r="L156" s="4" t="s">
        <v>3905</v>
      </c>
      <c r="M156" s="4" t="s">
        <v>20</v>
      </c>
      <c r="N156" s="7" t="n">
        <v>3</v>
      </c>
      <c r="O156" s="4" t="s">
        <v>3906</v>
      </c>
      <c r="P156" s="10" t="n">
        <v>1.2596</v>
      </c>
    </row>
    <row r="157" customFormat="false" ht="15" hidden="false" customHeight="false" outlineLevel="0" collapsed="false">
      <c r="A157" s="4" t="s">
        <v>1275</v>
      </c>
      <c r="B157" s="7" t="n">
        <v>2024</v>
      </c>
      <c r="C157" s="4" t="s">
        <v>17</v>
      </c>
      <c r="D157" s="4" t="s">
        <v>3901</v>
      </c>
      <c r="E157" s="4" t="s">
        <v>23</v>
      </c>
      <c r="F157" s="4" t="s">
        <v>3902</v>
      </c>
      <c r="G157" s="4" t="s">
        <v>21</v>
      </c>
      <c r="H157" s="4" t="s">
        <v>3903</v>
      </c>
      <c r="I157" s="4" t="s">
        <v>20</v>
      </c>
      <c r="J157" s="4" t="s">
        <v>3904</v>
      </c>
      <c r="K157" s="4" t="s">
        <v>21</v>
      </c>
      <c r="L157" s="4" t="s">
        <v>3905</v>
      </c>
      <c r="M157" s="4" t="s">
        <v>22</v>
      </c>
      <c r="N157" s="7" t="n">
        <v>3</v>
      </c>
      <c r="O157" s="4" t="s">
        <v>3906</v>
      </c>
      <c r="P157" s="10" t="n">
        <v>0.3482</v>
      </c>
    </row>
    <row r="158" customFormat="false" ht="15" hidden="false" customHeight="false" outlineLevel="0" collapsed="false">
      <c r="A158" s="4" t="s">
        <v>1282</v>
      </c>
      <c r="B158" s="7" t="n">
        <v>2022</v>
      </c>
      <c r="C158" s="4" t="s">
        <v>17</v>
      </c>
      <c r="D158" s="4" t="s">
        <v>3901</v>
      </c>
      <c r="E158" s="4" t="s">
        <v>21</v>
      </c>
      <c r="F158" s="4" t="s">
        <v>3902</v>
      </c>
      <c r="G158" s="4" t="s">
        <v>21</v>
      </c>
      <c r="H158" s="4" t="s">
        <v>3903</v>
      </c>
      <c r="I158" s="4" t="s">
        <v>23</v>
      </c>
      <c r="J158" s="4" t="s">
        <v>3904</v>
      </c>
      <c r="K158" s="4" t="s">
        <v>21</v>
      </c>
      <c r="L158" s="4" t="s">
        <v>3905</v>
      </c>
      <c r="M158" s="4" t="s">
        <v>21</v>
      </c>
      <c r="N158" s="7" t="n">
        <v>3</v>
      </c>
      <c r="O158" s="4" t="s">
        <v>3906</v>
      </c>
      <c r="P158" s="10" t="n">
        <v>0.2433</v>
      </c>
    </row>
    <row r="159" customFormat="false" ht="15" hidden="false" customHeight="false" outlineLevel="0" collapsed="false">
      <c r="A159" s="4" t="s">
        <v>1289</v>
      </c>
      <c r="B159" s="7" t="n">
        <v>2025</v>
      </c>
      <c r="C159" s="4" t="s">
        <v>15</v>
      </c>
      <c r="D159" s="4" t="s">
        <v>3907</v>
      </c>
      <c r="E159" s="4" t="s">
        <v>21</v>
      </c>
      <c r="F159" s="4" t="s">
        <v>3908</v>
      </c>
      <c r="G159" s="4" t="s">
        <v>22</v>
      </c>
      <c r="H159" s="4" t="s">
        <v>3909</v>
      </c>
      <c r="I159" s="4" t="s">
        <v>21</v>
      </c>
      <c r="J159" s="4" t="s">
        <v>3904</v>
      </c>
      <c r="K159" s="4" t="s">
        <v>21</v>
      </c>
      <c r="L159" s="4" t="s">
        <v>3905</v>
      </c>
      <c r="M159" s="4" t="s">
        <v>22</v>
      </c>
      <c r="N159" s="7" t="n">
        <v>3</v>
      </c>
      <c r="O159" s="4" t="s">
        <v>3906</v>
      </c>
      <c r="P159" s="10" t="n">
        <v>-1.411</v>
      </c>
    </row>
    <row r="160" customFormat="false" ht="15" hidden="false" customHeight="false" outlineLevel="0" collapsed="false">
      <c r="A160" s="4" t="s">
        <v>1297</v>
      </c>
      <c r="B160" s="7" t="n">
        <v>2024</v>
      </c>
      <c r="C160" s="4" t="s">
        <v>15</v>
      </c>
      <c r="D160" s="4" t="s">
        <v>3907</v>
      </c>
      <c r="E160" s="4" t="s">
        <v>20</v>
      </c>
      <c r="F160" s="4" t="s">
        <v>3908</v>
      </c>
      <c r="G160" s="4" t="s">
        <v>21</v>
      </c>
      <c r="H160" s="4" t="s">
        <v>3909</v>
      </c>
      <c r="I160" s="4" t="s">
        <v>20</v>
      </c>
      <c r="J160" s="4" t="s">
        <v>3904</v>
      </c>
      <c r="K160" s="4" t="s">
        <v>21</v>
      </c>
      <c r="L160" s="4" t="s">
        <v>3905</v>
      </c>
      <c r="M160" s="4" t="s">
        <v>20</v>
      </c>
      <c r="N160" s="7" t="n">
        <v>3</v>
      </c>
      <c r="O160" s="4" t="s">
        <v>3906</v>
      </c>
      <c r="P160" s="10" t="n">
        <v>1.0719</v>
      </c>
    </row>
    <row r="161" customFormat="false" ht="15" hidden="false" customHeight="false" outlineLevel="0" collapsed="false">
      <c r="A161" s="4" t="s">
        <v>1305</v>
      </c>
      <c r="B161" s="7" t="n">
        <v>2022</v>
      </c>
      <c r="C161" s="4" t="s">
        <v>14</v>
      </c>
      <c r="D161" s="4" t="s">
        <v>3914</v>
      </c>
      <c r="E161" s="4" t="s">
        <v>23</v>
      </c>
      <c r="F161" s="4" t="s">
        <v>3908</v>
      </c>
      <c r="G161" s="4" t="s">
        <v>21</v>
      </c>
      <c r="H161" s="4" t="s">
        <v>3909</v>
      </c>
      <c r="I161" s="4" t="s">
        <v>24</v>
      </c>
      <c r="J161" s="4" t="s">
        <v>3904</v>
      </c>
      <c r="K161" s="4" t="s">
        <v>21</v>
      </c>
      <c r="L161" s="4" t="s">
        <v>3905</v>
      </c>
      <c r="M161" s="4" t="s">
        <v>21</v>
      </c>
      <c r="N161" s="7" t="n">
        <v>2</v>
      </c>
      <c r="O161" s="4" t="s">
        <v>3910</v>
      </c>
      <c r="P161" s="11"/>
    </row>
    <row r="162" customFormat="false" ht="15" hidden="false" customHeight="false" outlineLevel="0" collapsed="false">
      <c r="A162" s="4" t="s">
        <v>1313</v>
      </c>
      <c r="B162" s="7" t="n">
        <v>2025</v>
      </c>
      <c r="C162" s="4" t="s">
        <v>17</v>
      </c>
      <c r="D162" s="4" t="s">
        <v>3901</v>
      </c>
      <c r="E162" s="4" t="s">
        <v>22</v>
      </c>
      <c r="F162" s="4" t="s">
        <v>3902</v>
      </c>
      <c r="G162" s="4" t="s">
        <v>22</v>
      </c>
      <c r="H162" s="4" t="s">
        <v>3903</v>
      </c>
      <c r="I162" s="4" t="s">
        <v>23</v>
      </c>
      <c r="J162" s="4" t="s">
        <v>3904</v>
      </c>
      <c r="K162" s="4" t="s">
        <v>22</v>
      </c>
      <c r="L162" s="4" t="s">
        <v>3905</v>
      </c>
      <c r="M162" s="4" t="s">
        <v>22</v>
      </c>
      <c r="N162" s="7" t="n">
        <v>3</v>
      </c>
      <c r="O162" s="4" t="s">
        <v>3906</v>
      </c>
      <c r="P162" s="10" t="n">
        <v>-1.0296</v>
      </c>
    </row>
    <row r="163" customFormat="false" ht="15" hidden="false" customHeight="false" outlineLevel="0" collapsed="false">
      <c r="A163" s="4" t="s">
        <v>1321</v>
      </c>
      <c r="B163" s="7" t="n">
        <v>2024</v>
      </c>
      <c r="C163" s="4" t="s">
        <v>15</v>
      </c>
      <c r="D163" s="4" t="s">
        <v>3907</v>
      </c>
      <c r="E163" s="4" t="s">
        <v>20</v>
      </c>
      <c r="F163" s="4" t="s">
        <v>3908</v>
      </c>
      <c r="G163" s="4" t="s">
        <v>20</v>
      </c>
      <c r="H163" s="4" t="s">
        <v>3909</v>
      </c>
      <c r="I163" s="4" t="s">
        <v>21</v>
      </c>
      <c r="J163" s="4" t="s">
        <v>3904</v>
      </c>
      <c r="K163" s="4" t="s">
        <v>21</v>
      </c>
      <c r="L163" s="4" t="s">
        <v>3905</v>
      </c>
      <c r="M163" s="4" t="s">
        <v>21</v>
      </c>
      <c r="N163" s="7" t="n">
        <v>3</v>
      </c>
      <c r="O163" s="4" t="s">
        <v>3906</v>
      </c>
      <c r="P163" s="10" t="n">
        <v>-0.268</v>
      </c>
    </row>
    <row r="164" customFormat="false" ht="15" hidden="false" customHeight="false" outlineLevel="0" collapsed="false">
      <c r="A164" s="4" t="s">
        <v>1329</v>
      </c>
      <c r="B164" s="7" t="n">
        <v>2023</v>
      </c>
      <c r="C164" s="4" t="s">
        <v>14</v>
      </c>
      <c r="D164" s="4" t="s">
        <v>3914</v>
      </c>
      <c r="E164" s="4" t="s">
        <v>22</v>
      </c>
      <c r="F164" s="4" t="s">
        <v>3908</v>
      </c>
      <c r="G164" s="4" t="s">
        <v>21</v>
      </c>
      <c r="H164" s="4" t="s">
        <v>3909</v>
      </c>
      <c r="I164" s="4" t="s">
        <v>24</v>
      </c>
      <c r="J164" s="4" t="s">
        <v>3904</v>
      </c>
      <c r="K164" s="4" t="s">
        <v>22</v>
      </c>
      <c r="L164" s="4" t="s">
        <v>3905</v>
      </c>
      <c r="M164" s="4" t="s">
        <v>20</v>
      </c>
      <c r="N164" s="7" t="n">
        <v>2</v>
      </c>
      <c r="O164" s="4" t="s">
        <v>3910</v>
      </c>
      <c r="P164" s="11"/>
    </row>
    <row r="165" customFormat="false" ht="15" hidden="false" customHeight="false" outlineLevel="0" collapsed="false">
      <c r="A165" s="4" t="s">
        <v>1337</v>
      </c>
      <c r="B165" s="7" t="n">
        <v>2025</v>
      </c>
      <c r="C165" s="4" t="s">
        <v>14</v>
      </c>
      <c r="D165" s="4" t="s">
        <v>3914</v>
      </c>
      <c r="E165" s="4" t="s">
        <v>24</v>
      </c>
      <c r="F165" s="4" t="s">
        <v>3908</v>
      </c>
      <c r="G165" s="4" t="s">
        <v>22</v>
      </c>
      <c r="H165" s="4" t="s">
        <v>3909</v>
      </c>
      <c r="I165" s="4" t="s">
        <v>21</v>
      </c>
      <c r="J165" s="4" t="s">
        <v>3904</v>
      </c>
      <c r="K165" s="4" t="s">
        <v>23</v>
      </c>
      <c r="L165" s="4" t="s">
        <v>3905</v>
      </c>
      <c r="M165" s="4" t="s">
        <v>22</v>
      </c>
      <c r="N165" s="7" t="n">
        <v>2</v>
      </c>
      <c r="O165" s="4" t="s">
        <v>3910</v>
      </c>
      <c r="P165" s="11"/>
    </row>
    <row r="166" customFormat="false" ht="15" hidden="false" customHeight="false" outlineLevel="0" collapsed="false">
      <c r="A166" s="4" t="s">
        <v>1344</v>
      </c>
      <c r="B166" s="7" t="n">
        <v>2024</v>
      </c>
      <c r="C166" s="4" t="s">
        <v>17</v>
      </c>
      <c r="D166" s="4" t="s">
        <v>3901</v>
      </c>
      <c r="E166" s="4" t="s">
        <v>20</v>
      </c>
      <c r="F166" s="4" t="s">
        <v>3902</v>
      </c>
      <c r="G166" s="4" t="s">
        <v>21</v>
      </c>
      <c r="H166" s="4" t="s">
        <v>3903</v>
      </c>
      <c r="I166" s="4" t="s">
        <v>23</v>
      </c>
      <c r="J166" s="4" t="s">
        <v>3904</v>
      </c>
      <c r="K166" s="4" t="s">
        <v>22</v>
      </c>
      <c r="L166" s="4" t="s">
        <v>3905</v>
      </c>
      <c r="M166" s="4" t="s">
        <v>22</v>
      </c>
      <c r="N166" s="7" t="n">
        <v>3</v>
      </c>
      <c r="O166" s="4" t="s">
        <v>3906</v>
      </c>
      <c r="P166" s="10" t="n">
        <v>-0.833</v>
      </c>
    </row>
    <row r="167" customFormat="false" ht="15" hidden="false" customHeight="false" outlineLevel="0" collapsed="false">
      <c r="A167" s="4" t="s">
        <v>1352</v>
      </c>
      <c r="B167" s="7" t="n">
        <v>2023</v>
      </c>
      <c r="C167" s="4" t="s">
        <v>16</v>
      </c>
      <c r="D167" s="4" t="s">
        <v>3911</v>
      </c>
      <c r="E167" s="4" t="s">
        <v>21</v>
      </c>
      <c r="F167" s="4" t="s">
        <v>3912</v>
      </c>
      <c r="G167" s="4" t="s">
        <v>21</v>
      </c>
      <c r="H167" s="4" t="s">
        <v>3913</v>
      </c>
      <c r="I167" s="4" t="s">
        <v>20</v>
      </c>
      <c r="J167" s="4" t="s">
        <v>3904</v>
      </c>
      <c r="K167" s="4" t="s">
        <v>22</v>
      </c>
      <c r="L167" s="4" t="s">
        <v>3905</v>
      </c>
      <c r="M167" s="4" t="s">
        <v>20</v>
      </c>
      <c r="N167" s="7" t="n">
        <v>3</v>
      </c>
      <c r="O167" s="4" t="s">
        <v>3906</v>
      </c>
      <c r="P167" s="10" t="n">
        <v>0.1414</v>
      </c>
    </row>
    <row r="168" customFormat="false" ht="15" hidden="false" customHeight="false" outlineLevel="0" collapsed="false">
      <c r="A168" s="4" t="s">
        <v>1360</v>
      </c>
      <c r="B168" s="7" t="n">
        <v>2025</v>
      </c>
      <c r="C168" s="4" t="s">
        <v>14</v>
      </c>
      <c r="D168" s="4" t="s">
        <v>3914</v>
      </c>
      <c r="E168" s="4" t="s">
        <v>22</v>
      </c>
      <c r="F168" s="4" t="s">
        <v>3908</v>
      </c>
      <c r="G168" s="4" t="s">
        <v>21</v>
      </c>
      <c r="H168" s="4" t="s">
        <v>3909</v>
      </c>
      <c r="I168" s="4" t="s">
        <v>23</v>
      </c>
      <c r="J168" s="4" t="s">
        <v>3904</v>
      </c>
      <c r="K168" s="4" t="s">
        <v>23</v>
      </c>
      <c r="L168" s="4" t="s">
        <v>3905</v>
      </c>
      <c r="M168" s="4" t="s">
        <v>22</v>
      </c>
      <c r="N168" s="7" t="n">
        <v>3</v>
      </c>
      <c r="O168" s="4" t="s">
        <v>3906</v>
      </c>
      <c r="P168" s="10" t="n">
        <v>0.223</v>
      </c>
    </row>
    <row r="169" customFormat="false" ht="15" hidden="false" customHeight="false" outlineLevel="0" collapsed="false">
      <c r="A169" s="4" t="s">
        <v>1367</v>
      </c>
      <c r="B169" s="7" t="n">
        <v>2025</v>
      </c>
      <c r="C169" s="4" t="s">
        <v>15</v>
      </c>
      <c r="D169" s="4" t="s">
        <v>3907</v>
      </c>
      <c r="E169" s="4" t="s">
        <v>22</v>
      </c>
      <c r="F169" s="4" t="s">
        <v>3908</v>
      </c>
      <c r="G169" s="4" t="s">
        <v>22</v>
      </c>
      <c r="H169" s="4" t="s">
        <v>3909</v>
      </c>
      <c r="I169" s="4" t="s">
        <v>20</v>
      </c>
      <c r="J169" s="4" t="s">
        <v>3904</v>
      </c>
      <c r="K169" s="4" t="s">
        <v>21</v>
      </c>
      <c r="L169" s="4" t="s">
        <v>3905</v>
      </c>
      <c r="M169" s="4" t="s">
        <v>23</v>
      </c>
      <c r="N169" s="7" t="n">
        <v>3</v>
      </c>
      <c r="O169" s="4" t="s">
        <v>3906</v>
      </c>
      <c r="P169" s="10" t="n">
        <v>0.6259</v>
      </c>
    </row>
    <row r="170" customFormat="false" ht="15" hidden="false" customHeight="false" outlineLevel="0" collapsed="false">
      <c r="A170" s="4" t="s">
        <v>1375</v>
      </c>
      <c r="B170" s="7" t="n">
        <v>2025</v>
      </c>
      <c r="C170" s="4" t="s">
        <v>15</v>
      </c>
      <c r="D170" s="4" t="s">
        <v>3907</v>
      </c>
      <c r="E170" s="4" t="s">
        <v>21</v>
      </c>
      <c r="F170" s="4" t="s">
        <v>3908</v>
      </c>
      <c r="G170" s="4" t="s">
        <v>21</v>
      </c>
      <c r="H170" s="4" t="s">
        <v>3909</v>
      </c>
      <c r="I170" s="4" t="s">
        <v>22</v>
      </c>
      <c r="J170" s="4" t="s">
        <v>3904</v>
      </c>
      <c r="K170" s="4" t="s">
        <v>23</v>
      </c>
      <c r="L170" s="4" t="s">
        <v>3905</v>
      </c>
      <c r="M170" s="4" t="s">
        <v>20</v>
      </c>
      <c r="N170" s="7" t="n">
        <v>3</v>
      </c>
      <c r="O170" s="4" t="s">
        <v>3906</v>
      </c>
      <c r="P170" s="10" t="n">
        <v>-1.3872</v>
      </c>
    </row>
    <row r="171" customFormat="false" ht="15" hidden="false" customHeight="false" outlineLevel="0" collapsed="false">
      <c r="A171" s="4" t="s">
        <v>1383</v>
      </c>
      <c r="B171" s="7" t="n">
        <v>2021</v>
      </c>
      <c r="C171" s="4" t="s">
        <v>18</v>
      </c>
      <c r="D171" s="4" t="s">
        <v>3915</v>
      </c>
      <c r="E171" s="4" t="s">
        <v>24</v>
      </c>
      <c r="F171" s="4" t="s">
        <v>3916</v>
      </c>
      <c r="G171" s="4" t="s">
        <v>23</v>
      </c>
      <c r="H171" s="4" t="s">
        <v>3917</v>
      </c>
      <c r="I171" s="4" t="s">
        <v>22</v>
      </c>
      <c r="J171" s="4" t="s">
        <v>3904</v>
      </c>
      <c r="K171" s="4" t="s">
        <v>23</v>
      </c>
      <c r="L171" s="4" t="s">
        <v>3905</v>
      </c>
      <c r="M171" s="4" t="s">
        <v>21</v>
      </c>
      <c r="N171" s="7" t="n">
        <v>2</v>
      </c>
      <c r="O171" s="4" t="s">
        <v>3910</v>
      </c>
      <c r="P171" s="11"/>
    </row>
    <row r="172" customFormat="false" ht="15" hidden="false" customHeight="false" outlineLevel="0" collapsed="false">
      <c r="A172" s="4" t="s">
        <v>1391</v>
      </c>
      <c r="B172" s="7" t="n">
        <v>2025</v>
      </c>
      <c r="C172" s="4" t="s">
        <v>17</v>
      </c>
      <c r="D172" s="4" t="s">
        <v>3901</v>
      </c>
      <c r="E172" s="4" t="s">
        <v>21</v>
      </c>
      <c r="F172" s="4" t="s">
        <v>3902</v>
      </c>
      <c r="G172" s="4" t="s">
        <v>21</v>
      </c>
      <c r="H172" s="4" t="s">
        <v>3903</v>
      </c>
      <c r="I172" s="4" t="s">
        <v>21</v>
      </c>
      <c r="J172" s="4" t="s">
        <v>3904</v>
      </c>
      <c r="K172" s="4" t="s">
        <v>20</v>
      </c>
      <c r="L172" s="4" t="s">
        <v>3905</v>
      </c>
      <c r="M172" s="4" t="s">
        <v>23</v>
      </c>
      <c r="N172" s="7" t="n">
        <v>3</v>
      </c>
      <c r="O172" s="4" t="s">
        <v>3906</v>
      </c>
      <c r="P172" s="10" t="n">
        <v>-0.5328</v>
      </c>
    </row>
    <row r="173" customFormat="false" ht="15" hidden="false" customHeight="false" outlineLevel="0" collapsed="false">
      <c r="A173" s="4" t="s">
        <v>1398</v>
      </c>
      <c r="B173" s="7" t="n">
        <v>2024</v>
      </c>
      <c r="C173" s="4" t="s">
        <v>15</v>
      </c>
      <c r="D173" s="4" t="s">
        <v>3907</v>
      </c>
      <c r="E173" s="4" t="s">
        <v>21</v>
      </c>
      <c r="F173" s="4" t="s">
        <v>3908</v>
      </c>
      <c r="G173" s="4" t="s">
        <v>21</v>
      </c>
      <c r="H173" s="4" t="s">
        <v>3909</v>
      </c>
      <c r="I173" s="4" t="s">
        <v>21</v>
      </c>
      <c r="J173" s="4" t="s">
        <v>3904</v>
      </c>
      <c r="K173" s="4" t="s">
        <v>23</v>
      </c>
      <c r="L173" s="4" t="s">
        <v>3905</v>
      </c>
      <c r="M173" s="4" t="s">
        <v>22</v>
      </c>
      <c r="N173" s="7" t="n">
        <v>3</v>
      </c>
      <c r="O173" s="4" t="s">
        <v>3906</v>
      </c>
      <c r="P173" s="10" t="n">
        <v>-0.457</v>
      </c>
    </row>
    <row r="174" customFormat="false" ht="15" hidden="false" customHeight="false" outlineLevel="0" collapsed="false">
      <c r="A174" s="4" t="s">
        <v>1406</v>
      </c>
      <c r="B174" s="7" t="n">
        <v>2022</v>
      </c>
      <c r="C174" s="4" t="s">
        <v>17</v>
      </c>
      <c r="D174" s="4" t="s">
        <v>3901</v>
      </c>
      <c r="E174" s="4" t="s">
        <v>22</v>
      </c>
      <c r="F174" s="4" t="s">
        <v>3902</v>
      </c>
      <c r="G174" s="4" t="s">
        <v>21</v>
      </c>
      <c r="H174" s="4" t="s">
        <v>3903</v>
      </c>
      <c r="I174" s="4" t="s">
        <v>23</v>
      </c>
      <c r="J174" s="4" t="s">
        <v>3904</v>
      </c>
      <c r="K174" s="4" t="s">
        <v>22</v>
      </c>
      <c r="L174" s="4" t="s">
        <v>3905</v>
      </c>
      <c r="M174" s="4" t="s">
        <v>21</v>
      </c>
      <c r="N174" s="7" t="n">
        <v>3</v>
      </c>
      <c r="O174" s="4" t="s">
        <v>3906</v>
      </c>
      <c r="P174" s="10" t="n">
        <v>-1.4117</v>
      </c>
    </row>
    <row r="175" customFormat="false" ht="15" hidden="false" customHeight="false" outlineLevel="0" collapsed="false">
      <c r="A175" s="4" t="s">
        <v>1414</v>
      </c>
      <c r="B175" s="7" t="n">
        <v>2021</v>
      </c>
      <c r="C175" s="4" t="s">
        <v>16</v>
      </c>
      <c r="D175" s="4" t="s">
        <v>3911</v>
      </c>
      <c r="E175" s="4" t="s">
        <v>23</v>
      </c>
      <c r="F175" s="4" t="s">
        <v>3912</v>
      </c>
      <c r="G175" s="4" t="s">
        <v>22</v>
      </c>
      <c r="H175" s="4" t="s">
        <v>3913</v>
      </c>
      <c r="I175" s="4" t="s">
        <v>20</v>
      </c>
      <c r="J175" s="4" t="s">
        <v>3904</v>
      </c>
      <c r="K175" s="4" t="s">
        <v>22</v>
      </c>
      <c r="L175" s="4" t="s">
        <v>3905</v>
      </c>
      <c r="M175" s="4" t="s">
        <v>21</v>
      </c>
      <c r="N175" s="7" t="n">
        <v>3</v>
      </c>
      <c r="O175" s="4" t="s">
        <v>3906</v>
      </c>
      <c r="P175" s="10" t="n">
        <v>-0.7287</v>
      </c>
    </row>
    <row r="176" customFormat="false" ht="15" hidden="false" customHeight="false" outlineLevel="0" collapsed="false">
      <c r="A176" s="4" t="s">
        <v>1421</v>
      </c>
      <c r="B176" s="7" t="n">
        <v>2024</v>
      </c>
      <c r="C176" s="4" t="s">
        <v>16</v>
      </c>
      <c r="D176" s="4" t="s">
        <v>3911</v>
      </c>
      <c r="E176" s="4" t="s">
        <v>20</v>
      </c>
      <c r="F176" s="4" t="s">
        <v>3912</v>
      </c>
      <c r="G176" s="4" t="s">
        <v>21</v>
      </c>
      <c r="H176" s="4" t="s">
        <v>3913</v>
      </c>
      <c r="I176" s="4" t="s">
        <v>23</v>
      </c>
      <c r="J176" s="4" t="s">
        <v>3904</v>
      </c>
      <c r="K176" s="4" t="s">
        <v>22</v>
      </c>
      <c r="L176" s="4" t="s">
        <v>3905</v>
      </c>
      <c r="M176" s="4" t="s">
        <v>23</v>
      </c>
      <c r="N176" s="7" t="n">
        <v>3</v>
      </c>
      <c r="O176" s="4" t="s">
        <v>3906</v>
      </c>
      <c r="P176" s="10" t="n">
        <v>0.0584</v>
      </c>
    </row>
    <row r="177" customFormat="false" ht="15" hidden="false" customHeight="false" outlineLevel="0" collapsed="false">
      <c r="A177" s="4" t="s">
        <v>1429</v>
      </c>
      <c r="B177" s="7" t="n">
        <v>2021</v>
      </c>
      <c r="C177" s="4" t="s">
        <v>16</v>
      </c>
      <c r="D177" s="4" t="s">
        <v>3911</v>
      </c>
      <c r="E177" s="4" t="s">
        <v>22</v>
      </c>
      <c r="F177" s="4" t="s">
        <v>3912</v>
      </c>
      <c r="G177" s="4" t="s">
        <v>20</v>
      </c>
      <c r="H177" s="4" t="s">
        <v>3913</v>
      </c>
      <c r="I177" s="4" t="s">
        <v>21</v>
      </c>
      <c r="J177" s="4" t="s">
        <v>3904</v>
      </c>
      <c r="K177" s="4" t="s">
        <v>21</v>
      </c>
      <c r="L177" s="4" t="s">
        <v>3905</v>
      </c>
      <c r="M177" s="4" t="s">
        <v>20</v>
      </c>
      <c r="N177" s="7" t="n">
        <v>3</v>
      </c>
      <c r="O177" s="4" t="s">
        <v>3906</v>
      </c>
      <c r="P177" s="10" t="n">
        <v>1.0652</v>
      </c>
    </row>
    <row r="178" customFormat="false" ht="15" hidden="false" customHeight="false" outlineLevel="0" collapsed="false">
      <c r="A178" s="4" t="s">
        <v>1437</v>
      </c>
      <c r="B178" s="7" t="n">
        <v>2023</v>
      </c>
      <c r="C178" s="4" t="s">
        <v>14</v>
      </c>
      <c r="D178" s="4" t="s">
        <v>3914</v>
      </c>
      <c r="E178" s="4" t="s">
        <v>20</v>
      </c>
      <c r="F178" s="4" t="s">
        <v>3908</v>
      </c>
      <c r="G178" s="4" t="s">
        <v>21</v>
      </c>
      <c r="H178" s="4" t="s">
        <v>3909</v>
      </c>
      <c r="I178" s="4" t="s">
        <v>21</v>
      </c>
      <c r="J178" s="4" t="s">
        <v>3904</v>
      </c>
      <c r="K178" s="4" t="s">
        <v>20</v>
      </c>
      <c r="L178" s="4" t="s">
        <v>3905</v>
      </c>
      <c r="M178" s="4" t="s">
        <v>21</v>
      </c>
      <c r="N178" s="7" t="n">
        <v>3</v>
      </c>
      <c r="O178" s="4" t="s">
        <v>3906</v>
      </c>
      <c r="P178" s="10" t="n">
        <v>-0.2983</v>
      </c>
    </row>
    <row r="179" customFormat="false" ht="15" hidden="false" customHeight="false" outlineLevel="0" collapsed="false">
      <c r="A179" s="4" t="s">
        <v>1443</v>
      </c>
      <c r="B179" s="7" t="n">
        <v>2025</v>
      </c>
      <c r="C179" s="4" t="s">
        <v>16</v>
      </c>
      <c r="D179" s="4" t="s">
        <v>3911</v>
      </c>
      <c r="E179" s="4" t="s">
        <v>21</v>
      </c>
      <c r="F179" s="4" t="s">
        <v>3912</v>
      </c>
      <c r="G179" s="4" t="s">
        <v>21</v>
      </c>
      <c r="H179" s="4" t="s">
        <v>3913</v>
      </c>
      <c r="I179" s="4" t="s">
        <v>21</v>
      </c>
      <c r="J179" s="4" t="s">
        <v>3904</v>
      </c>
      <c r="K179" s="4" t="s">
        <v>20</v>
      </c>
      <c r="L179" s="4" t="s">
        <v>3905</v>
      </c>
      <c r="M179" s="4" t="s">
        <v>20</v>
      </c>
      <c r="N179" s="7" t="n">
        <v>3</v>
      </c>
      <c r="O179" s="4" t="s">
        <v>3906</v>
      </c>
      <c r="P179" s="10" t="n">
        <v>0.3952</v>
      </c>
    </row>
    <row r="180" customFormat="false" ht="15" hidden="false" customHeight="false" outlineLevel="0" collapsed="false">
      <c r="A180" s="4" t="s">
        <v>1450</v>
      </c>
      <c r="B180" s="7" t="n">
        <v>2025</v>
      </c>
      <c r="C180" s="4" t="s">
        <v>14</v>
      </c>
      <c r="D180" s="4" t="s">
        <v>3914</v>
      </c>
      <c r="E180" s="4" t="s">
        <v>20</v>
      </c>
      <c r="F180" s="4" t="s">
        <v>3908</v>
      </c>
      <c r="G180" s="4" t="s">
        <v>22</v>
      </c>
      <c r="H180" s="4" t="s">
        <v>3909</v>
      </c>
      <c r="I180" s="4" t="s">
        <v>23</v>
      </c>
      <c r="J180" s="4" t="s">
        <v>3904</v>
      </c>
      <c r="K180" s="4" t="s">
        <v>24</v>
      </c>
      <c r="L180" s="4" t="s">
        <v>3905</v>
      </c>
      <c r="M180" s="4" t="s">
        <v>21</v>
      </c>
      <c r="N180" s="7" t="n">
        <v>3</v>
      </c>
      <c r="O180" s="4" t="s">
        <v>3906</v>
      </c>
      <c r="P180" s="10" t="n">
        <v>-1.203</v>
      </c>
    </row>
    <row r="181" customFormat="false" ht="15" hidden="false" customHeight="false" outlineLevel="0" collapsed="false">
      <c r="A181" s="4" t="s">
        <v>1458</v>
      </c>
      <c r="B181" s="7" t="n">
        <v>2024</v>
      </c>
      <c r="C181" s="4" t="s">
        <v>16</v>
      </c>
      <c r="D181" s="4" t="s">
        <v>3911</v>
      </c>
      <c r="E181" s="4" t="s">
        <v>22</v>
      </c>
      <c r="F181" s="4" t="s">
        <v>3912</v>
      </c>
      <c r="G181" s="4" t="s">
        <v>21</v>
      </c>
      <c r="H181" s="4" t="s">
        <v>3913</v>
      </c>
      <c r="I181" s="4" t="s">
        <v>22</v>
      </c>
      <c r="J181" s="4" t="s">
        <v>3904</v>
      </c>
      <c r="K181" s="4" t="s">
        <v>21</v>
      </c>
      <c r="L181" s="4" t="s">
        <v>3905</v>
      </c>
      <c r="M181" s="4" t="s">
        <v>24</v>
      </c>
      <c r="N181" s="7" t="n">
        <v>3</v>
      </c>
      <c r="O181" s="4" t="s">
        <v>3906</v>
      </c>
      <c r="P181" s="10" t="n">
        <v>-1.4841</v>
      </c>
    </row>
    <row r="182" customFormat="false" ht="15" hidden="false" customHeight="false" outlineLevel="0" collapsed="false">
      <c r="A182" s="4" t="s">
        <v>1466</v>
      </c>
      <c r="B182" s="7" t="n">
        <v>2023</v>
      </c>
      <c r="C182" s="4" t="s">
        <v>16</v>
      </c>
      <c r="D182" s="4" t="s">
        <v>3911</v>
      </c>
      <c r="E182" s="4" t="s">
        <v>22</v>
      </c>
      <c r="F182" s="4" t="s">
        <v>3912</v>
      </c>
      <c r="G182" s="4" t="s">
        <v>24</v>
      </c>
      <c r="H182" s="4" t="s">
        <v>3913</v>
      </c>
      <c r="I182" s="4" t="s">
        <v>21</v>
      </c>
      <c r="J182" s="4" t="s">
        <v>3904</v>
      </c>
      <c r="K182" s="4" t="s">
        <v>22</v>
      </c>
      <c r="L182" s="4" t="s">
        <v>3905</v>
      </c>
      <c r="M182" s="4" t="s">
        <v>24</v>
      </c>
      <c r="N182" s="7" t="n">
        <v>2</v>
      </c>
      <c r="O182" s="4" t="s">
        <v>3910</v>
      </c>
      <c r="P182" s="11"/>
    </row>
    <row r="183" customFormat="false" ht="15" hidden="false" customHeight="false" outlineLevel="0" collapsed="false">
      <c r="A183" s="4" t="s">
        <v>1474</v>
      </c>
      <c r="B183" s="7" t="n">
        <v>2025</v>
      </c>
      <c r="C183" s="4" t="s">
        <v>17</v>
      </c>
      <c r="D183" s="4" t="s">
        <v>3901</v>
      </c>
      <c r="E183" s="4" t="s">
        <v>22</v>
      </c>
      <c r="F183" s="4" t="s">
        <v>3902</v>
      </c>
      <c r="G183" s="4" t="s">
        <v>21</v>
      </c>
      <c r="H183" s="4" t="s">
        <v>3903</v>
      </c>
      <c r="I183" s="4" t="s">
        <v>21</v>
      </c>
      <c r="J183" s="4" t="s">
        <v>3904</v>
      </c>
      <c r="K183" s="4" t="s">
        <v>23</v>
      </c>
      <c r="L183" s="4" t="s">
        <v>3905</v>
      </c>
      <c r="M183" s="4" t="s">
        <v>23</v>
      </c>
      <c r="N183" s="7" t="n">
        <v>3</v>
      </c>
      <c r="O183" s="4" t="s">
        <v>3906</v>
      </c>
      <c r="P183" s="10" t="n">
        <v>-0.7708</v>
      </c>
    </row>
    <row r="184" customFormat="false" ht="15" hidden="false" customHeight="false" outlineLevel="0" collapsed="false">
      <c r="A184" s="4" t="s">
        <v>1482</v>
      </c>
      <c r="B184" s="7" t="n">
        <v>2021</v>
      </c>
      <c r="C184" s="4" t="s">
        <v>16</v>
      </c>
      <c r="D184" s="4" t="s">
        <v>3911</v>
      </c>
      <c r="E184" s="4" t="s">
        <v>20</v>
      </c>
      <c r="F184" s="4" t="s">
        <v>3912</v>
      </c>
      <c r="G184" s="4" t="s">
        <v>21</v>
      </c>
      <c r="H184" s="4" t="s">
        <v>3913</v>
      </c>
      <c r="I184" s="4" t="s">
        <v>21</v>
      </c>
      <c r="J184" s="4" t="s">
        <v>3904</v>
      </c>
      <c r="K184" s="4" t="s">
        <v>20</v>
      </c>
      <c r="L184" s="4" t="s">
        <v>3905</v>
      </c>
      <c r="M184" s="4" t="s">
        <v>22</v>
      </c>
      <c r="N184" s="7" t="n">
        <v>3</v>
      </c>
      <c r="O184" s="4" t="s">
        <v>3906</v>
      </c>
      <c r="P184" s="10" t="n">
        <v>1.1536</v>
      </c>
    </row>
    <row r="185" customFormat="false" ht="15" hidden="false" customHeight="false" outlineLevel="0" collapsed="false">
      <c r="A185" s="4" t="s">
        <v>1490</v>
      </c>
      <c r="B185" s="7" t="n">
        <v>2021</v>
      </c>
      <c r="C185" s="4" t="s">
        <v>15</v>
      </c>
      <c r="D185" s="4" t="s">
        <v>3907</v>
      </c>
      <c r="E185" s="4" t="s">
        <v>24</v>
      </c>
      <c r="F185" s="4" t="s">
        <v>3908</v>
      </c>
      <c r="G185" s="4" t="s">
        <v>22</v>
      </c>
      <c r="H185" s="4" t="s">
        <v>3909</v>
      </c>
      <c r="I185" s="4" t="s">
        <v>23</v>
      </c>
      <c r="J185" s="4" t="s">
        <v>3904</v>
      </c>
      <c r="K185" s="4" t="s">
        <v>24</v>
      </c>
      <c r="L185" s="4" t="s">
        <v>3905</v>
      </c>
      <c r="M185" s="4" t="s">
        <v>22</v>
      </c>
      <c r="N185" s="7" t="n">
        <v>2</v>
      </c>
      <c r="O185" s="4" t="s">
        <v>3910</v>
      </c>
      <c r="P185" s="11"/>
    </row>
    <row r="186" customFormat="false" ht="15" hidden="false" customHeight="false" outlineLevel="0" collapsed="false">
      <c r="A186" s="4" t="s">
        <v>1498</v>
      </c>
      <c r="B186" s="7" t="n">
        <v>2021</v>
      </c>
      <c r="C186" s="4" t="s">
        <v>15</v>
      </c>
      <c r="D186" s="4" t="s">
        <v>3907</v>
      </c>
      <c r="E186" s="4" t="s">
        <v>22</v>
      </c>
      <c r="F186" s="4" t="s">
        <v>3908</v>
      </c>
      <c r="G186" s="4" t="s">
        <v>23</v>
      </c>
      <c r="H186" s="4" t="s">
        <v>3909</v>
      </c>
      <c r="I186" s="4" t="s">
        <v>24</v>
      </c>
      <c r="J186" s="4" t="s">
        <v>3904</v>
      </c>
      <c r="K186" s="4" t="s">
        <v>21</v>
      </c>
      <c r="L186" s="4" t="s">
        <v>3905</v>
      </c>
      <c r="M186" s="4" t="s">
        <v>21</v>
      </c>
      <c r="N186" s="7" t="n">
        <v>2</v>
      </c>
      <c r="O186" s="4" t="s">
        <v>3910</v>
      </c>
      <c r="P186" s="11"/>
    </row>
    <row r="187" customFormat="false" ht="15" hidden="false" customHeight="false" outlineLevel="0" collapsed="false">
      <c r="A187" s="4" t="s">
        <v>1506</v>
      </c>
      <c r="B187" s="7" t="n">
        <v>2025</v>
      </c>
      <c r="C187" s="4" t="s">
        <v>18</v>
      </c>
      <c r="D187" s="4" t="s">
        <v>3915</v>
      </c>
      <c r="E187" s="4" t="s">
        <v>24</v>
      </c>
      <c r="F187" s="4" t="s">
        <v>3916</v>
      </c>
      <c r="G187" s="4" t="s">
        <v>23</v>
      </c>
      <c r="H187" s="4" t="s">
        <v>3917</v>
      </c>
      <c r="I187" s="4" t="s">
        <v>21</v>
      </c>
      <c r="J187" s="4" t="s">
        <v>3904</v>
      </c>
      <c r="K187" s="4" t="s">
        <v>22</v>
      </c>
      <c r="L187" s="4" t="s">
        <v>3905</v>
      </c>
      <c r="M187" s="4" t="s">
        <v>21</v>
      </c>
      <c r="N187" s="7" t="n">
        <v>2</v>
      </c>
      <c r="O187" s="4" t="s">
        <v>3910</v>
      </c>
      <c r="P187" s="11"/>
    </row>
    <row r="188" customFormat="false" ht="15" hidden="false" customHeight="false" outlineLevel="0" collapsed="false">
      <c r="A188" s="4" t="s">
        <v>1514</v>
      </c>
      <c r="B188" s="7" t="n">
        <v>2022</v>
      </c>
      <c r="C188" s="4" t="s">
        <v>17</v>
      </c>
      <c r="D188" s="4" t="s">
        <v>3901</v>
      </c>
      <c r="E188" s="4" t="s">
        <v>22</v>
      </c>
      <c r="F188" s="4" t="s">
        <v>3902</v>
      </c>
      <c r="G188" s="4" t="s">
        <v>22</v>
      </c>
      <c r="H188" s="4" t="s">
        <v>3903</v>
      </c>
      <c r="I188" s="4" t="s">
        <v>24</v>
      </c>
      <c r="J188" s="4" t="s">
        <v>3904</v>
      </c>
      <c r="K188" s="4" t="s">
        <v>22</v>
      </c>
      <c r="L188" s="4" t="s">
        <v>3905</v>
      </c>
      <c r="M188" s="4" t="s">
        <v>21</v>
      </c>
      <c r="N188" s="7" t="n">
        <v>2</v>
      </c>
      <c r="O188" s="4" t="s">
        <v>3910</v>
      </c>
      <c r="P188" s="11"/>
    </row>
    <row r="189" customFormat="false" ht="15" hidden="false" customHeight="false" outlineLevel="0" collapsed="false">
      <c r="A189" s="4" t="s">
        <v>1522</v>
      </c>
      <c r="B189" s="7" t="n">
        <v>2024</v>
      </c>
      <c r="C189" s="4" t="s">
        <v>16</v>
      </c>
      <c r="D189" s="4" t="s">
        <v>3911</v>
      </c>
      <c r="E189" s="4" t="s">
        <v>22</v>
      </c>
      <c r="F189" s="4" t="s">
        <v>3912</v>
      </c>
      <c r="G189" s="4" t="s">
        <v>20</v>
      </c>
      <c r="H189" s="4" t="s">
        <v>3913</v>
      </c>
      <c r="I189" s="4" t="s">
        <v>21</v>
      </c>
      <c r="J189" s="4" t="s">
        <v>3904</v>
      </c>
      <c r="K189" s="4" t="s">
        <v>21</v>
      </c>
      <c r="L189" s="4" t="s">
        <v>3905</v>
      </c>
      <c r="M189" s="4" t="s">
        <v>20</v>
      </c>
      <c r="N189" s="7" t="n">
        <v>3</v>
      </c>
      <c r="O189" s="4" t="s">
        <v>3906</v>
      </c>
      <c r="P189" s="10" t="n">
        <v>0.6853</v>
      </c>
    </row>
    <row r="190" customFormat="false" ht="15" hidden="false" customHeight="false" outlineLevel="0" collapsed="false">
      <c r="A190" s="4" t="s">
        <v>1530</v>
      </c>
      <c r="B190" s="7" t="n">
        <v>2023</v>
      </c>
      <c r="C190" s="4" t="s">
        <v>14</v>
      </c>
      <c r="D190" s="4" t="s">
        <v>3914</v>
      </c>
      <c r="E190" s="4" t="s">
        <v>22</v>
      </c>
      <c r="F190" s="4" t="s">
        <v>3908</v>
      </c>
      <c r="G190" s="4" t="s">
        <v>24</v>
      </c>
      <c r="H190" s="4" t="s">
        <v>3909</v>
      </c>
      <c r="I190" s="4" t="s">
        <v>22</v>
      </c>
      <c r="J190" s="4" t="s">
        <v>3904</v>
      </c>
      <c r="K190" s="4" t="s">
        <v>24</v>
      </c>
      <c r="L190" s="4" t="s">
        <v>3905</v>
      </c>
      <c r="M190" s="4" t="s">
        <v>20</v>
      </c>
      <c r="N190" s="7" t="n">
        <v>2</v>
      </c>
      <c r="O190" s="4" t="s">
        <v>3910</v>
      </c>
      <c r="P190" s="11"/>
    </row>
    <row r="191" customFormat="false" ht="15" hidden="false" customHeight="false" outlineLevel="0" collapsed="false">
      <c r="A191" s="4" t="s">
        <v>1537</v>
      </c>
      <c r="B191" s="7" t="n">
        <v>2021</v>
      </c>
      <c r="C191" s="4" t="s">
        <v>16</v>
      </c>
      <c r="D191" s="4" t="s">
        <v>3911</v>
      </c>
      <c r="E191" s="4" t="s">
        <v>22</v>
      </c>
      <c r="F191" s="4" t="s">
        <v>3912</v>
      </c>
      <c r="G191" s="4" t="s">
        <v>22</v>
      </c>
      <c r="H191" s="4" t="s">
        <v>3913</v>
      </c>
      <c r="I191" s="4" t="s">
        <v>23</v>
      </c>
      <c r="J191" s="4" t="s">
        <v>3904</v>
      </c>
      <c r="K191" s="4" t="s">
        <v>22</v>
      </c>
      <c r="L191" s="4" t="s">
        <v>3905</v>
      </c>
      <c r="M191" s="4" t="s">
        <v>22</v>
      </c>
      <c r="N191" s="7" t="n">
        <v>3</v>
      </c>
      <c r="O191" s="4" t="s">
        <v>3906</v>
      </c>
      <c r="P191" s="10" t="n">
        <v>1.907</v>
      </c>
    </row>
    <row r="192" customFormat="false" ht="15" hidden="false" customHeight="false" outlineLevel="0" collapsed="false">
      <c r="A192" s="4" t="s">
        <v>1545</v>
      </c>
      <c r="B192" s="7" t="n">
        <v>2022</v>
      </c>
      <c r="C192" s="4" t="s">
        <v>18</v>
      </c>
      <c r="D192" s="4" t="s">
        <v>3915</v>
      </c>
      <c r="E192" s="4" t="s">
        <v>22</v>
      </c>
      <c r="F192" s="4" t="s">
        <v>3916</v>
      </c>
      <c r="G192" s="4" t="s">
        <v>22</v>
      </c>
      <c r="H192" s="4" t="s">
        <v>3917</v>
      </c>
      <c r="I192" s="4" t="s">
        <v>23</v>
      </c>
      <c r="J192" s="4" t="s">
        <v>3904</v>
      </c>
      <c r="K192" s="4" t="s">
        <v>24</v>
      </c>
      <c r="L192" s="4" t="s">
        <v>3905</v>
      </c>
      <c r="M192" s="4" t="s">
        <v>21</v>
      </c>
      <c r="N192" s="7" t="n">
        <v>3</v>
      </c>
      <c r="O192" s="4" t="s">
        <v>3906</v>
      </c>
      <c r="P192" s="10" t="n">
        <v>0.433</v>
      </c>
    </row>
    <row r="193" customFormat="false" ht="15" hidden="false" customHeight="false" outlineLevel="0" collapsed="false">
      <c r="A193" s="4" t="s">
        <v>1553</v>
      </c>
      <c r="B193" s="7" t="n">
        <v>2023</v>
      </c>
      <c r="C193" s="4" t="s">
        <v>15</v>
      </c>
      <c r="D193" s="4" t="s">
        <v>3907</v>
      </c>
      <c r="E193" s="4" t="s">
        <v>23</v>
      </c>
      <c r="F193" s="4" t="s">
        <v>3908</v>
      </c>
      <c r="G193" s="4" t="s">
        <v>23</v>
      </c>
      <c r="H193" s="4" t="s">
        <v>3909</v>
      </c>
      <c r="I193" s="4" t="s">
        <v>20</v>
      </c>
      <c r="J193" s="4" t="s">
        <v>3904</v>
      </c>
      <c r="K193" s="4" t="s">
        <v>20</v>
      </c>
      <c r="L193" s="4" t="s">
        <v>3905</v>
      </c>
      <c r="M193" s="4" t="s">
        <v>22</v>
      </c>
      <c r="N193" s="7" t="n">
        <v>3</v>
      </c>
      <c r="O193" s="4" t="s">
        <v>3906</v>
      </c>
      <c r="P193" s="10" t="n">
        <v>-0.3663</v>
      </c>
    </row>
    <row r="194" customFormat="false" ht="15" hidden="false" customHeight="false" outlineLevel="0" collapsed="false">
      <c r="A194" s="4" t="s">
        <v>1561</v>
      </c>
      <c r="B194" s="7" t="n">
        <v>2021</v>
      </c>
      <c r="C194" s="4" t="s">
        <v>14</v>
      </c>
      <c r="D194" s="4" t="s">
        <v>3914</v>
      </c>
      <c r="E194" s="4" t="s">
        <v>20</v>
      </c>
      <c r="F194" s="4" t="s">
        <v>3908</v>
      </c>
      <c r="G194" s="4" t="s">
        <v>21</v>
      </c>
      <c r="H194" s="4" t="s">
        <v>3909</v>
      </c>
      <c r="I194" s="4" t="s">
        <v>23</v>
      </c>
      <c r="J194" s="4" t="s">
        <v>3904</v>
      </c>
      <c r="K194" s="4" t="s">
        <v>24</v>
      </c>
      <c r="L194" s="4" t="s">
        <v>3905</v>
      </c>
      <c r="M194" s="4" t="s">
        <v>20</v>
      </c>
      <c r="N194" s="7" t="n">
        <v>3</v>
      </c>
      <c r="O194" s="4" t="s">
        <v>3906</v>
      </c>
      <c r="P194" s="10" t="n">
        <v>-0.7438</v>
      </c>
    </row>
    <row r="195" customFormat="false" ht="15" hidden="false" customHeight="false" outlineLevel="0" collapsed="false">
      <c r="A195" s="4" t="s">
        <v>1569</v>
      </c>
      <c r="B195" s="7" t="n">
        <v>2021</v>
      </c>
      <c r="C195" s="4" t="s">
        <v>16</v>
      </c>
      <c r="D195" s="4" t="s">
        <v>3911</v>
      </c>
      <c r="E195" s="4" t="s">
        <v>22</v>
      </c>
      <c r="F195" s="4" t="s">
        <v>3912</v>
      </c>
      <c r="G195" s="4" t="s">
        <v>23</v>
      </c>
      <c r="H195" s="4" t="s">
        <v>3913</v>
      </c>
      <c r="I195" s="4" t="s">
        <v>20</v>
      </c>
      <c r="J195" s="4" t="s">
        <v>3904</v>
      </c>
      <c r="K195" s="4" t="s">
        <v>23</v>
      </c>
      <c r="L195" s="4" t="s">
        <v>3905</v>
      </c>
      <c r="M195" s="4" t="s">
        <v>22</v>
      </c>
      <c r="N195" s="7" t="n">
        <v>3</v>
      </c>
      <c r="O195" s="4" t="s">
        <v>3906</v>
      </c>
      <c r="P195" s="10" t="n">
        <v>-0.7831</v>
      </c>
    </row>
    <row r="196" customFormat="false" ht="15" hidden="false" customHeight="false" outlineLevel="0" collapsed="false">
      <c r="A196" s="4" t="s">
        <v>1576</v>
      </c>
      <c r="B196" s="7" t="n">
        <v>2025</v>
      </c>
      <c r="C196" s="4" t="s">
        <v>15</v>
      </c>
      <c r="D196" s="4" t="s">
        <v>3907</v>
      </c>
      <c r="E196" s="4" t="s">
        <v>24</v>
      </c>
      <c r="F196" s="4" t="s">
        <v>3908</v>
      </c>
      <c r="G196" s="4" t="s">
        <v>20</v>
      </c>
      <c r="H196" s="4" t="s">
        <v>3909</v>
      </c>
      <c r="I196" s="4" t="s">
        <v>21</v>
      </c>
      <c r="J196" s="4" t="s">
        <v>3904</v>
      </c>
      <c r="K196" s="4" t="s">
        <v>24</v>
      </c>
      <c r="L196" s="4" t="s">
        <v>3905</v>
      </c>
      <c r="M196" s="4" t="s">
        <v>21</v>
      </c>
      <c r="N196" s="7" t="n">
        <v>2</v>
      </c>
      <c r="O196" s="4" t="s">
        <v>3910</v>
      </c>
      <c r="P196" s="11"/>
    </row>
    <row r="197" customFormat="false" ht="15" hidden="false" customHeight="false" outlineLevel="0" collapsed="false">
      <c r="A197" s="4" t="s">
        <v>1583</v>
      </c>
      <c r="B197" s="7" t="n">
        <v>2021</v>
      </c>
      <c r="C197" s="4" t="s">
        <v>16</v>
      </c>
      <c r="D197" s="4" t="s">
        <v>3911</v>
      </c>
      <c r="E197" s="4" t="s">
        <v>22</v>
      </c>
      <c r="F197" s="4" t="s">
        <v>3912</v>
      </c>
      <c r="G197" s="4" t="s">
        <v>20</v>
      </c>
      <c r="H197" s="4" t="s">
        <v>3913</v>
      </c>
      <c r="I197" s="4" t="s">
        <v>21</v>
      </c>
      <c r="J197" s="4" t="s">
        <v>3904</v>
      </c>
      <c r="K197" s="4" t="s">
        <v>22</v>
      </c>
      <c r="L197" s="4" t="s">
        <v>3905</v>
      </c>
      <c r="M197" s="4" t="s">
        <v>22</v>
      </c>
      <c r="N197" s="7" t="n">
        <v>3</v>
      </c>
      <c r="O197" s="4" t="s">
        <v>3906</v>
      </c>
      <c r="P197" s="10" t="n">
        <v>2.1193</v>
      </c>
    </row>
    <row r="198" customFormat="false" ht="15" hidden="false" customHeight="false" outlineLevel="0" collapsed="false">
      <c r="A198" s="4" t="s">
        <v>1591</v>
      </c>
      <c r="B198" s="7" t="n">
        <v>2025</v>
      </c>
      <c r="C198" s="4" t="s">
        <v>16</v>
      </c>
      <c r="D198" s="4" t="s">
        <v>3911</v>
      </c>
      <c r="E198" s="4" t="s">
        <v>20</v>
      </c>
      <c r="F198" s="4" t="s">
        <v>3912</v>
      </c>
      <c r="G198" s="4" t="s">
        <v>20</v>
      </c>
      <c r="H198" s="4" t="s">
        <v>3913</v>
      </c>
      <c r="I198" s="4" t="s">
        <v>23</v>
      </c>
      <c r="J198" s="4" t="s">
        <v>3904</v>
      </c>
      <c r="K198" s="4" t="s">
        <v>24</v>
      </c>
      <c r="L198" s="4" t="s">
        <v>3905</v>
      </c>
      <c r="M198" s="4" t="s">
        <v>21</v>
      </c>
      <c r="N198" s="7" t="n">
        <v>3</v>
      </c>
      <c r="O198" s="4" t="s">
        <v>3906</v>
      </c>
      <c r="P198" s="10" t="n">
        <v>1.5044</v>
      </c>
    </row>
    <row r="199" customFormat="false" ht="15" hidden="false" customHeight="false" outlineLevel="0" collapsed="false">
      <c r="A199" s="4" t="s">
        <v>1599</v>
      </c>
      <c r="B199" s="7" t="n">
        <v>2022</v>
      </c>
      <c r="C199" s="4" t="s">
        <v>17</v>
      </c>
      <c r="D199" s="4" t="s">
        <v>3901</v>
      </c>
      <c r="E199" s="4" t="s">
        <v>22</v>
      </c>
      <c r="F199" s="4" t="s">
        <v>3902</v>
      </c>
      <c r="G199" s="4" t="s">
        <v>23</v>
      </c>
      <c r="H199" s="4" t="s">
        <v>3903</v>
      </c>
      <c r="I199" s="4" t="s">
        <v>20</v>
      </c>
      <c r="J199" s="4" t="s">
        <v>3904</v>
      </c>
      <c r="K199" s="4" t="s">
        <v>22</v>
      </c>
      <c r="L199" s="4" t="s">
        <v>3905</v>
      </c>
      <c r="M199" s="4" t="s">
        <v>24</v>
      </c>
      <c r="N199" s="7" t="n">
        <v>3</v>
      </c>
      <c r="O199" s="4" t="s">
        <v>3906</v>
      </c>
      <c r="P199" s="10" t="n">
        <v>-0.8145</v>
      </c>
    </row>
    <row r="200" customFormat="false" ht="15" hidden="false" customHeight="false" outlineLevel="0" collapsed="false">
      <c r="A200" s="4" t="s">
        <v>1607</v>
      </c>
      <c r="B200" s="7" t="n">
        <v>2024</v>
      </c>
      <c r="C200" s="4" t="s">
        <v>17</v>
      </c>
      <c r="D200" s="4" t="s">
        <v>3901</v>
      </c>
      <c r="E200" s="4" t="s">
        <v>21</v>
      </c>
      <c r="F200" s="4" t="s">
        <v>3902</v>
      </c>
      <c r="G200" s="4" t="s">
        <v>22</v>
      </c>
      <c r="H200" s="4" t="s">
        <v>3903</v>
      </c>
      <c r="I200" s="4" t="s">
        <v>21</v>
      </c>
      <c r="J200" s="4" t="s">
        <v>3904</v>
      </c>
      <c r="K200" s="4" t="s">
        <v>22</v>
      </c>
      <c r="L200" s="4" t="s">
        <v>3905</v>
      </c>
      <c r="M200" s="4" t="s">
        <v>20</v>
      </c>
      <c r="N200" s="7" t="n">
        <v>3</v>
      </c>
      <c r="O200" s="4" t="s">
        <v>3906</v>
      </c>
      <c r="P200" s="10" t="n">
        <v>-1.3308</v>
      </c>
    </row>
    <row r="201" customFormat="false" ht="15" hidden="false" customHeight="false" outlineLevel="0" collapsed="false">
      <c r="A201" s="4" t="s">
        <v>1615</v>
      </c>
      <c r="B201" s="7" t="n">
        <v>2022</v>
      </c>
      <c r="C201" s="4" t="s">
        <v>14</v>
      </c>
      <c r="D201" s="4" t="s">
        <v>3914</v>
      </c>
      <c r="E201" s="4" t="s">
        <v>22</v>
      </c>
      <c r="F201" s="4" t="s">
        <v>3908</v>
      </c>
      <c r="G201" s="4" t="s">
        <v>21</v>
      </c>
      <c r="H201" s="4" t="s">
        <v>3909</v>
      </c>
      <c r="I201" s="4" t="s">
        <v>23</v>
      </c>
      <c r="J201" s="4" t="s">
        <v>3904</v>
      </c>
      <c r="K201" s="4" t="s">
        <v>21</v>
      </c>
      <c r="L201" s="4" t="s">
        <v>3905</v>
      </c>
      <c r="M201" s="4" t="s">
        <v>22</v>
      </c>
      <c r="N201" s="7" t="n">
        <v>3</v>
      </c>
      <c r="O201" s="4" t="s">
        <v>3906</v>
      </c>
      <c r="P201" s="10" t="n">
        <v>-0.0974</v>
      </c>
    </row>
    <row r="202" customFormat="false" ht="15" hidden="false" customHeight="false" outlineLevel="0" collapsed="false">
      <c r="A202" s="4" t="s">
        <v>1623</v>
      </c>
      <c r="B202" s="7" t="n">
        <v>2021</v>
      </c>
      <c r="C202" s="4" t="s">
        <v>15</v>
      </c>
      <c r="D202" s="4" t="s">
        <v>3907</v>
      </c>
      <c r="E202" s="4" t="s">
        <v>22</v>
      </c>
      <c r="F202" s="4" t="s">
        <v>3908</v>
      </c>
      <c r="G202" s="4" t="s">
        <v>23</v>
      </c>
      <c r="H202" s="4" t="s">
        <v>3909</v>
      </c>
      <c r="I202" s="4" t="s">
        <v>23</v>
      </c>
      <c r="J202" s="4" t="s">
        <v>3904</v>
      </c>
      <c r="K202" s="4" t="s">
        <v>21</v>
      </c>
      <c r="L202" s="4" t="s">
        <v>3905</v>
      </c>
      <c r="M202" s="4" t="s">
        <v>20</v>
      </c>
      <c r="N202" s="7" t="n">
        <v>3</v>
      </c>
      <c r="O202" s="4" t="s">
        <v>3906</v>
      </c>
      <c r="P202" s="10" t="n">
        <v>-0.1255</v>
      </c>
    </row>
    <row r="203" customFormat="false" ht="15" hidden="false" customHeight="false" outlineLevel="0" collapsed="false">
      <c r="A203" s="4" t="s">
        <v>1631</v>
      </c>
      <c r="B203" s="7" t="n">
        <v>2023</v>
      </c>
      <c r="C203" s="4" t="s">
        <v>17</v>
      </c>
      <c r="D203" s="4" t="s">
        <v>3901</v>
      </c>
      <c r="E203" s="4" t="s">
        <v>20</v>
      </c>
      <c r="F203" s="4" t="s">
        <v>3902</v>
      </c>
      <c r="G203" s="4" t="s">
        <v>20</v>
      </c>
      <c r="H203" s="4" t="s">
        <v>3903</v>
      </c>
      <c r="I203" s="4" t="s">
        <v>22</v>
      </c>
      <c r="J203" s="4" t="s">
        <v>3904</v>
      </c>
      <c r="K203" s="4" t="s">
        <v>22</v>
      </c>
      <c r="L203" s="4" t="s">
        <v>3905</v>
      </c>
      <c r="M203" s="4" t="s">
        <v>20</v>
      </c>
      <c r="N203" s="7" t="n">
        <v>3</v>
      </c>
      <c r="O203" s="4" t="s">
        <v>3906</v>
      </c>
      <c r="P203" s="10" t="n">
        <v>-0.8907</v>
      </c>
    </row>
    <row r="204" customFormat="false" ht="15" hidden="false" customHeight="false" outlineLevel="0" collapsed="false">
      <c r="A204" s="4" t="s">
        <v>1639</v>
      </c>
      <c r="B204" s="7" t="n">
        <v>2023</v>
      </c>
      <c r="C204" s="4" t="s">
        <v>14</v>
      </c>
      <c r="D204" s="4" t="s">
        <v>3914</v>
      </c>
      <c r="E204" s="4" t="s">
        <v>21</v>
      </c>
      <c r="F204" s="4" t="s">
        <v>3908</v>
      </c>
      <c r="G204" s="4" t="s">
        <v>23</v>
      </c>
      <c r="H204" s="4" t="s">
        <v>3909</v>
      </c>
      <c r="I204" s="4" t="s">
        <v>21</v>
      </c>
      <c r="J204" s="4" t="s">
        <v>3904</v>
      </c>
      <c r="K204" s="4" t="s">
        <v>21</v>
      </c>
      <c r="L204" s="4" t="s">
        <v>3905</v>
      </c>
      <c r="M204" s="4" t="s">
        <v>20</v>
      </c>
      <c r="N204" s="7" t="n">
        <v>3</v>
      </c>
      <c r="O204" s="4" t="s">
        <v>3906</v>
      </c>
      <c r="P204" s="10" t="n">
        <v>-1.0954</v>
      </c>
    </row>
    <row r="205" customFormat="false" ht="15" hidden="false" customHeight="false" outlineLevel="0" collapsed="false">
      <c r="A205" s="4" t="s">
        <v>1647</v>
      </c>
      <c r="B205" s="7" t="n">
        <v>2021</v>
      </c>
      <c r="C205" s="4" t="s">
        <v>14</v>
      </c>
      <c r="D205" s="4" t="s">
        <v>3914</v>
      </c>
      <c r="E205" s="4" t="s">
        <v>22</v>
      </c>
      <c r="F205" s="4" t="s">
        <v>3908</v>
      </c>
      <c r="G205" s="4" t="s">
        <v>23</v>
      </c>
      <c r="H205" s="4" t="s">
        <v>3909</v>
      </c>
      <c r="I205" s="4" t="s">
        <v>20</v>
      </c>
      <c r="J205" s="4" t="s">
        <v>3904</v>
      </c>
      <c r="K205" s="4" t="s">
        <v>20</v>
      </c>
      <c r="L205" s="4" t="s">
        <v>3905</v>
      </c>
      <c r="M205" s="4" t="s">
        <v>22</v>
      </c>
      <c r="N205" s="7" t="n">
        <v>3</v>
      </c>
      <c r="O205" s="4" t="s">
        <v>3906</v>
      </c>
      <c r="P205" s="10" t="n">
        <v>-1.2007</v>
      </c>
    </row>
    <row r="206" customFormat="false" ht="15" hidden="false" customHeight="false" outlineLevel="0" collapsed="false">
      <c r="A206" s="4" t="s">
        <v>1655</v>
      </c>
      <c r="B206" s="7" t="n">
        <v>2023</v>
      </c>
      <c r="C206" s="4" t="s">
        <v>14</v>
      </c>
      <c r="D206" s="4" t="s">
        <v>3914</v>
      </c>
      <c r="E206" s="4" t="s">
        <v>20</v>
      </c>
      <c r="F206" s="4" t="s">
        <v>3908</v>
      </c>
      <c r="G206" s="4" t="s">
        <v>20</v>
      </c>
      <c r="H206" s="4" t="s">
        <v>3909</v>
      </c>
      <c r="I206" s="4" t="s">
        <v>23</v>
      </c>
      <c r="J206" s="4" t="s">
        <v>3904</v>
      </c>
      <c r="K206" s="4" t="s">
        <v>21</v>
      </c>
      <c r="L206" s="4" t="s">
        <v>3905</v>
      </c>
      <c r="M206" s="4" t="s">
        <v>22</v>
      </c>
      <c r="N206" s="7" t="n">
        <v>3</v>
      </c>
      <c r="O206" s="4" t="s">
        <v>3906</v>
      </c>
      <c r="P206" s="10" t="n">
        <v>-0.5271</v>
      </c>
    </row>
    <row r="207" customFormat="false" ht="15" hidden="false" customHeight="false" outlineLevel="0" collapsed="false">
      <c r="A207" s="4" t="s">
        <v>1663</v>
      </c>
      <c r="B207" s="7" t="n">
        <v>2024</v>
      </c>
      <c r="C207" s="4" t="s">
        <v>15</v>
      </c>
      <c r="D207" s="4" t="s">
        <v>3907</v>
      </c>
      <c r="E207" s="4" t="s">
        <v>20</v>
      </c>
      <c r="F207" s="4" t="s">
        <v>3908</v>
      </c>
      <c r="G207" s="4" t="s">
        <v>22</v>
      </c>
      <c r="H207" s="4" t="s">
        <v>3909</v>
      </c>
      <c r="I207" s="4" t="s">
        <v>22</v>
      </c>
      <c r="J207" s="4" t="s">
        <v>3904</v>
      </c>
      <c r="K207" s="4" t="s">
        <v>24</v>
      </c>
      <c r="L207" s="4" t="s">
        <v>3905</v>
      </c>
      <c r="M207" s="4" t="s">
        <v>20</v>
      </c>
      <c r="N207" s="7" t="n">
        <v>3</v>
      </c>
      <c r="O207" s="4" t="s">
        <v>3906</v>
      </c>
      <c r="P207" s="10" t="n">
        <v>-0.6888</v>
      </c>
    </row>
    <row r="208" customFormat="false" ht="15" hidden="false" customHeight="false" outlineLevel="0" collapsed="false">
      <c r="A208" s="4" t="s">
        <v>1671</v>
      </c>
      <c r="B208" s="7" t="n">
        <v>2023</v>
      </c>
      <c r="C208" s="4" t="s">
        <v>14</v>
      </c>
      <c r="D208" s="4" t="s">
        <v>3914</v>
      </c>
      <c r="E208" s="4" t="s">
        <v>24</v>
      </c>
      <c r="F208" s="4" t="s">
        <v>3908</v>
      </c>
      <c r="G208" s="4" t="s">
        <v>21</v>
      </c>
      <c r="H208" s="4" t="s">
        <v>3909</v>
      </c>
      <c r="I208" s="4" t="s">
        <v>24</v>
      </c>
      <c r="J208" s="4" t="s">
        <v>3904</v>
      </c>
      <c r="K208" s="4" t="s">
        <v>22</v>
      </c>
      <c r="L208" s="4" t="s">
        <v>3905</v>
      </c>
      <c r="M208" s="4" t="s">
        <v>23</v>
      </c>
      <c r="N208" s="7" t="n">
        <v>1</v>
      </c>
      <c r="O208" s="4" t="s">
        <v>3910</v>
      </c>
      <c r="P208" s="11"/>
    </row>
    <row r="209" customFormat="false" ht="15" hidden="false" customHeight="false" outlineLevel="0" collapsed="false">
      <c r="A209" s="4" t="s">
        <v>1679</v>
      </c>
      <c r="B209" s="7" t="n">
        <v>2025</v>
      </c>
      <c r="C209" s="4" t="s">
        <v>16</v>
      </c>
      <c r="D209" s="4" t="s">
        <v>3911</v>
      </c>
      <c r="E209" s="4" t="s">
        <v>22</v>
      </c>
      <c r="F209" s="4" t="s">
        <v>3912</v>
      </c>
      <c r="G209" s="4" t="s">
        <v>23</v>
      </c>
      <c r="H209" s="4" t="s">
        <v>3913</v>
      </c>
      <c r="I209" s="4" t="s">
        <v>20</v>
      </c>
      <c r="J209" s="4" t="s">
        <v>3904</v>
      </c>
      <c r="K209" s="4" t="s">
        <v>20</v>
      </c>
      <c r="L209" s="4" t="s">
        <v>3905</v>
      </c>
      <c r="M209" s="4" t="s">
        <v>21</v>
      </c>
      <c r="N209" s="7" t="n">
        <v>3</v>
      </c>
      <c r="O209" s="4" t="s">
        <v>3906</v>
      </c>
      <c r="P209" s="10" t="n">
        <v>-0.8278</v>
      </c>
    </row>
    <row r="210" customFormat="false" ht="15" hidden="false" customHeight="false" outlineLevel="0" collapsed="false">
      <c r="A210" s="4" t="s">
        <v>1687</v>
      </c>
      <c r="B210" s="7" t="n">
        <v>2024</v>
      </c>
      <c r="C210" s="4" t="s">
        <v>15</v>
      </c>
      <c r="D210" s="4" t="s">
        <v>3907</v>
      </c>
      <c r="E210" s="4" t="s">
        <v>20</v>
      </c>
      <c r="F210" s="4" t="s">
        <v>3908</v>
      </c>
      <c r="G210" s="4" t="s">
        <v>20</v>
      </c>
      <c r="H210" s="4" t="s">
        <v>3909</v>
      </c>
      <c r="I210" s="4" t="s">
        <v>21</v>
      </c>
      <c r="J210" s="4" t="s">
        <v>3904</v>
      </c>
      <c r="K210" s="4" t="s">
        <v>23</v>
      </c>
      <c r="L210" s="4" t="s">
        <v>3905</v>
      </c>
      <c r="M210" s="4" t="s">
        <v>23</v>
      </c>
      <c r="N210" s="7" t="n">
        <v>3</v>
      </c>
      <c r="O210" s="4" t="s">
        <v>3906</v>
      </c>
      <c r="P210" s="10" t="n">
        <v>0.7798</v>
      </c>
    </row>
    <row r="211" customFormat="false" ht="15" hidden="false" customHeight="false" outlineLevel="0" collapsed="false">
      <c r="A211" s="4" t="s">
        <v>1695</v>
      </c>
      <c r="B211" s="7" t="n">
        <v>2022</v>
      </c>
      <c r="C211" s="4" t="s">
        <v>14</v>
      </c>
      <c r="D211" s="4" t="s">
        <v>3914</v>
      </c>
      <c r="E211" s="4" t="s">
        <v>21</v>
      </c>
      <c r="F211" s="4" t="s">
        <v>3908</v>
      </c>
      <c r="G211" s="4" t="s">
        <v>23</v>
      </c>
      <c r="H211" s="4" t="s">
        <v>3909</v>
      </c>
      <c r="I211" s="4" t="s">
        <v>20</v>
      </c>
      <c r="J211" s="4" t="s">
        <v>3904</v>
      </c>
      <c r="K211" s="4" t="s">
        <v>22</v>
      </c>
      <c r="L211" s="4" t="s">
        <v>3905</v>
      </c>
      <c r="M211" s="4" t="s">
        <v>22</v>
      </c>
      <c r="N211" s="7" t="n">
        <v>3</v>
      </c>
      <c r="O211" s="4" t="s">
        <v>3906</v>
      </c>
      <c r="P211" s="10" t="n">
        <v>-0.1391</v>
      </c>
    </row>
    <row r="212" customFormat="false" ht="15" hidden="false" customHeight="false" outlineLevel="0" collapsed="false">
      <c r="A212" s="4" t="s">
        <v>1703</v>
      </c>
      <c r="B212" s="7" t="n">
        <v>2025</v>
      </c>
      <c r="C212" s="4" t="s">
        <v>17</v>
      </c>
      <c r="D212" s="4" t="s">
        <v>3901</v>
      </c>
      <c r="E212" s="4" t="s">
        <v>22</v>
      </c>
      <c r="F212" s="4" t="s">
        <v>3902</v>
      </c>
      <c r="G212" s="4" t="s">
        <v>22</v>
      </c>
      <c r="H212" s="4" t="s">
        <v>3903</v>
      </c>
      <c r="I212" s="4" t="s">
        <v>23</v>
      </c>
      <c r="J212" s="4" t="s">
        <v>3904</v>
      </c>
      <c r="K212" s="4" t="s">
        <v>20</v>
      </c>
      <c r="L212" s="4" t="s">
        <v>3905</v>
      </c>
      <c r="M212" s="4" t="s">
        <v>21</v>
      </c>
      <c r="N212" s="7" t="n">
        <v>3</v>
      </c>
      <c r="O212" s="4" t="s">
        <v>3906</v>
      </c>
      <c r="P212" s="10" t="n">
        <v>-0.1822</v>
      </c>
    </row>
    <row r="213" customFormat="false" ht="15" hidden="false" customHeight="false" outlineLevel="0" collapsed="false">
      <c r="A213" s="4" t="s">
        <v>1711</v>
      </c>
      <c r="B213" s="7" t="n">
        <v>2022</v>
      </c>
      <c r="C213" s="4" t="s">
        <v>15</v>
      </c>
      <c r="D213" s="4" t="s">
        <v>3907</v>
      </c>
      <c r="E213" s="4" t="s">
        <v>23</v>
      </c>
      <c r="F213" s="4" t="s">
        <v>3908</v>
      </c>
      <c r="G213" s="4" t="s">
        <v>24</v>
      </c>
      <c r="H213" s="4" t="s">
        <v>3909</v>
      </c>
      <c r="I213" s="4" t="s">
        <v>22</v>
      </c>
      <c r="J213" s="4" t="s">
        <v>3904</v>
      </c>
      <c r="K213" s="4" t="s">
        <v>23</v>
      </c>
      <c r="L213" s="4" t="s">
        <v>3905</v>
      </c>
      <c r="M213" s="4" t="s">
        <v>21</v>
      </c>
      <c r="N213" s="7" t="n">
        <v>2</v>
      </c>
      <c r="O213" s="4" t="s">
        <v>3910</v>
      </c>
      <c r="P213" s="11"/>
    </row>
    <row r="214" customFormat="false" ht="15" hidden="false" customHeight="false" outlineLevel="0" collapsed="false">
      <c r="A214" s="4" t="s">
        <v>1719</v>
      </c>
      <c r="B214" s="7" t="n">
        <v>2024</v>
      </c>
      <c r="C214" s="4" t="s">
        <v>16</v>
      </c>
      <c r="D214" s="4" t="s">
        <v>3911</v>
      </c>
      <c r="E214" s="4" t="s">
        <v>22</v>
      </c>
      <c r="F214" s="4" t="s">
        <v>3912</v>
      </c>
      <c r="G214" s="4" t="s">
        <v>24</v>
      </c>
      <c r="H214" s="4" t="s">
        <v>3913</v>
      </c>
      <c r="I214" s="4" t="s">
        <v>23</v>
      </c>
      <c r="J214" s="4" t="s">
        <v>3904</v>
      </c>
      <c r="K214" s="4" t="s">
        <v>22</v>
      </c>
      <c r="L214" s="4" t="s">
        <v>3905</v>
      </c>
      <c r="M214" s="4" t="s">
        <v>22</v>
      </c>
      <c r="N214" s="7" t="n">
        <v>2</v>
      </c>
      <c r="O214" s="4" t="s">
        <v>3910</v>
      </c>
      <c r="P214" s="11"/>
    </row>
    <row r="215" customFormat="false" ht="15" hidden="false" customHeight="false" outlineLevel="0" collapsed="false">
      <c r="A215" s="4" t="s">
        <v>1726</v>
      </c>
      <c r="B215" s="7" t="n">
        <v>2022</v>
      </c>
      <c r="C215" s="4" t="s">
        <v>15</v>
      </c>
      <c r="D215" s="4" t="s">
        <v>3907</v>
      </c>
      <c r="E215" s="4" t="s">
        <v>21</v>
      </c>
      <c r="F215" s="4" t="s">
        <v>3908</v>
      </c>
      <c r="G215" s="4" t="s">
        <v>24</v>
      </c>
      <c r="H215" s="4" t="s">
        <v>3909</v>
      </c>
      <c r="I215" s="4" t="s">
        <v>22</v>
      </c>
      <c r="J215" s="4" t="s">
        <v>3904</v>
      </c>
      <c r="K215" s="4" t="s">
        <v>22</v>
      </c>
      <c r="L215" s="4" t="s">
        <v>3905</v>
      </c>
      <c r="M215" s="4" t="s">
        <v>24</v>
      </c>
      <c r="N215" s="7" t="n">
        <v>2</v>
      </c>
      <c r="O215" s="4" t="s">
        <v>3910</v>
      </c>
      <c r="P215" s="11"/>
    </row>
    <row r="216" customFormat="false" ht="15" hidden="false" customHeight="false" outlineLevel="0" collapsed="false">
      <c r="A216" s="4" t="s">
        <v>1733</v>
      </c>
      <c r="B216" s="7" t="n">
        <v>2023</v>
      </c>
      <c r="C216" s="4" t="s">
        <v>16</v>
      </c>
      <c r="D216" s="4" t="s">
        <v>3911</v>
      </c>
      <c r="E216" s="4" t="s">
        <v>23</v>
      </c>
      <c r="F216" s="4" t="s">
        <v>3912</v>
      </c>
      <c r="G216" s="4" t="s">
        <v>22</v>
      </c>
      <c r="H216" s="4" t="s">
        <v>3913</v>
      </c>
      <c r="I216" s="4" t="s">
        <v>21</v>
      </c>
      <c r="J216" s="4" t="s">
        <v>3904</v>
      </c>
      <c r="K216" s="4" t="s">
        <v>23</v>
      </c>
      <c r="L216" s="4" t="s">
        <v>3905</v>
      </c>
      <c r="M216" s="4" t="s">
        <v>21</v>
      </c>
      <c r="N216" s="7" t="n">
        <v>3</v>
      </c>
      <c r="O216" s="4" t="s">
        <v>3906</v>
      </c>
      <c r="P216" s="10" t="n">
        <v>0.9591</v>
      </c>
    </row>
    <row r="217" customFormat="false" ht="15" hidden="false" customHeight="false" outlineLevel="0" collapsed="false">
      <c r="A217" s="4" t="s">
        <v>1741</v>
      </c>
      <c r="B217" s="7" t="n">
        <v>2022</v>
      </c>
      <c r="C217" s="4" t="s">
        <v>18</v>
      </c>
      <c r="D217" s="4" t="s">
        <v>3915</v>
      </c>
      <c r="E217" s="4" t="s">
        <v>21</v>
      </c>
      <c r="F217" s="4" t="s">
        <v>3916</v>
      </c>
      <c r="G217" s="4" t="s">
        <v>20</v>
      </c>
      <c r="H217" s="4" t="s">
        <v>3917</v>
      </c>
      <c r="I217" s="4" t="s">
        <v>22</v>
      </c>
      <c r="J217" s="4" t="s">
        <v>3904</v>
      </c>
      <c r="K217" s="4" t="s">
        <v>21</v>
      </c>
      <c r="L217" s="4" t="s">
        <v>3905</v>
      </c>
      <c r="M217" s="4" t="s">
        <v>21</v>
      </c>
      <c r="N217" s="7" t="n">
        <v>3</v>
      </c>
      <c r="O217" s="4" t="s">
        <v>3906</v>
      </c>
      <c r="P217" s="10" t="n">
        <v>0.0083</v>
      </c>
    </row>
    <row r="218" customFormat="false" ht="15" hidden="false" customHeight="false" outlineLevel="0" collapsed="false">
      <c r="A218" s="4" t="s">
        <v>1748</v>
      </c>
      <c r="B218" s="7" t="n">
        <v>2025</v>
      </c>
      <c r="C218" s="4" t="s">
        <v>15</v>
      </c>
      <c r="D218" s="4" t="s">
        <v>3907</v>
      </c>
      <c r="E218" s="4" t="s">
        <v>21</v>
      </c>
      <c r="F218" s="4" t="s">
        <v>3908</v>
      </c>
      <c r="G218" s="4" t="s">
        <v>23</v>
      </c>
      <c r="H218" s="4" t="s">
        <v>3909</v>
      </c>
      <c r="I218" s="4" t="s">
        <v>21</v>
      </c>
      <c r="J218" s="4" t="s">
        <v>3904</v>
      </c>
      <c r="K218" s="4" t="s">
        <v>21</v>
      </c>
      <c r="L218" s="4" t="s">
        <v>3905</v>
      </c>
      <c r="M218" s="4" t="s">
        <v>22</v>
      </c>
      <c r="N218" s="7" t="n">
        <v>3</v>
      </c>
      <c r="O218" s="4" t="s">
        <v>3906</v>
      </c>
      <c r="P218" s="10" t="n">
        <v>1.2888</v>
      </c>
    </row>
    <row r="219" customFormat="false" ht="15" hidden="false" customHeight="false" outlineLevel="0" collapsed="false">
      <c r="A219" s="4" t="s">
        <v>1756</v>
      </c>
      <c r="B219" s="7" t="n">
        <v>2023</v>
      </c>
      <c r="C219" s="4" t="s">
        <v>15</v>
      </c>
      <c r="D219" s="4" t="s">
        <v>3907</v>
      </c>
      <c r="E219" s="4" t="s">
        <v>23</v>
      </c>
      <c r="F219" s="4" t="s">
        <v>3908</v>
      </c>
      <c r="G219" s="4" t="s">
        <v>23</v>
      </c>
      <c r="H219" s="4" t="s">
        <v>3909</v>
      </c>
      <c r="I219" s="4" t="s">
        <v>20</v>
      </c>
      <c r="J219" s="4" t="s">
        <v>3904</v>
      </c>
      <c r="K219" s="4" t="s">
        <v>23</v>
      </c>
      <c r="L219" s="4" t="s">
        <v>3905</v>
      </c>
      <c r="M219" s="4" t="s">
        <v>21</v>
      </c>
      <c r="N219" s="7" t="n">
        <v>3</v>
      </c>
      <c r="O219" s="4" t="s">
        <v>3906</v>
      </c>
      <c r="P219" s="10" t="n">
        <v>0.3645</v>
      </c>
    </row>
    <row r="220" customFormat="false" ht="15" hidden="false" customHeight="false" outlineLevel="0" collapsed="false">
      <c r="A220" s="4" t="s">
        <v>1764</v>
      </c>
      <c r="B220" s="7" t="n">
        <v>2025</v>
      </c>
      <c r="C220" s="4" t="s">
        <v>18</v>
      </c>
      <c r="D220" s="4" t="s">
        <v>3915</v>
      </c>
      <c r="E220" s="4" t="s">
        <v>24</v>
      </c>
      <c r="F220" s="4" t="s">
        <v>3916</v>
      </c>
      <c r="G220" s="4" t="s">
        <v>21</v>
      </c>
      <c r="H220" s="4" t="s">
        <v>3917</v>
      </c>
      <c r="I220" s="4" t="s">
        <v>21</v>
      </c>
      <c r="J220" s="4" t="s">
        <v>3904</v>
      </c>
      <c r="K220" s="4" t="s">
        <v>22</v>
      </c>
      <c r="L220" s="4" t="s">
        <v>3905</v>
      </c>
      <c r="M220" s="4" t="s">
        <v>22</v>
      </c>
      <c r="N220" s="7" t="n">
        <v>2</v>
      </c>
      <c r="O220" s="4" t="s">
        <v>3910</v>
      </c>
      <c r="P220" s="11"/>
    </row>
    <row r="221" customFormat="false" ht="15" hidden="false" customHeight="false" outlineLevel="0" collapsed="false">
      <c r="A221" s="4" t="s">
        <v>1772</v>
      </c>
      <c r="B221" s="7" t="n">
        <v>2023</v>
      </c>
      <c r="C221" s="4" t="s">
        <v>15</v>
      </c>
      <c r="D221" s="4" t="s">
        <v>3907</v>
      </c>
      <c r="E221" s="4" t="s">
        <v>21</v>
      </c>
      <c r="F221" s="4" t="s">
        <v>3908</v>
      </c>
      <c r="G221" s="4" t="s">
        <v>24</v>
      </c>
      <c r="H221" s="4" t="s">
        <v>3909</v>
      </c>
      <c r="I221" s="4" t="s">
        <v>21</v>
      </c>
      <c r="J221" s="4" t="s">
        <v>3904</v>
      </c>
      <c r="K221" s="4" t="s">
        <v>20</v>
      </c>
      <c r="L221" s="4" t="s">
        <v>3905</v>
      </c>
      <c r="M221" s="4" t="s">
        <v>24</v>
      </c>
      <c r="N221" s="7" t="n">
        <v>2</v>
      </c>
      <c r="O221" s="4" t="s">
        <v>3910</v>
      </c>
      <c r="P221" s="11"/>
    </row>
    <row r="222" customFormat="false" ht="15" hidden="false" customHeight="false" outlineLevel="0" collapsed="false">
      <c r="A222" s="4" t="s">
        <v>1780</v>
      </c>
      <c r="B222" s="7" t="n">
        <v>2024</v>
      </c>
      <c r="C222" s="4" t="s">
        <v>16</v>
      </c>
      <c r="D222" s="4" t="s">
        <v>3911</v>
      </c>
      <c r="E222" s="4" t="s">
        <v>24</v>
      </c>
      <c r="F222" s="4" t="s">
        <v>3912</v>
      </c>
      <c r="G222" s="4" t="s">
        <v>21</v>
      </c>
      <c r="H222" s="4" t="s">
        <v>3913</v>
      </c>
      <c r="I222" s="4" t="s">
        <v>23</v>
      </c>
      <c r="J222" s="4" t="s">
        <v>3904</v>
      </c>
      <c r="K222" s="4" t="s">
        <v>22</v>
      </c>
      <c r="L222" s="4" t="s">
        <v>3905</v>
      </c>
      <c r="M222" s="4" t="s">
        <v>21</v>
      </c>
      <c r="N222" s="7" t="n">
        <v>2</v>
      </c>
      <c r="O222" s="4" t="s">
        <v>3910</v>
      </c>
      <c r="P222" s="11"/>
    </row>
    <row r="223" customFormat="false" ht="15" hidden="false" customHeight="false" outlineLevel="0" collapsed="false">
      <c r="A223" s="4" t="s">
        <v>1788</v>
      </c>
      <c r="B223" s="7" t="n">
        <v>2021</v>
      </c>
      <c r="C223" s="4" t="s">
        <v>14</v>
      </c>
      <c r="D223" s="4" t="s">
        <v>3914</v>
      </c>
      <c r="E223" s="4" t="s">
        <v>20</v>
      </c>
      <c r="F223" s="4" t="s">
        <v>3908</v>
      </c>
      <c r="G223" s="4" t="s">
        <v>20</v>
      </c>
      <c r="H223" s="4" t="s">
        <v>3909</v>
      </c>
      <c r="I223" s="4" t="s">
        <v>22</v>
      </c>
      <c r="J223" s="4" t="s">
        <v>3904</v>
      </c>
      <c r="K223" s="4" t="s">
        <v>20</v>
      </c>
      <c r="L223" s="4" t="s">
        <v>3905</v>
      </c>
      <c r="M223" s="4" t="s">
        <v>20</v>
      </c>
      <c r="N223" s="7" t="n">
        <v>3</v>
      </c>
      <c r="O223" s="4" t="s">
        <v>3906</v>
      </c>
      <c r="P223" s="10" t="n">
        <v>-0.7237</v>
      </c>
    </row>
    <row r="224" customFormat="false" ht="15" hidden="false" customHeight="false" outlineLevel="0" collapsed="false">
      <c r="A224" s="4" t="s">
        <v>1795</v>
      </c>
      <c r="B224" s="7" t="n">
        <v>2022</v>
      </c>
      <c r="C224" s="4" t="s">
        <v>16</v>
      </c>
      <c r="D224" s="4" t="s">
        <v>3911</v>
      </c>
      <c r="E224" s="4" t="s">
        <v>21</v>
      </c>
      <c r="F224" s="4" t="s">
        <v>3912</v>
      </c>
      <c r="G224" s="4" t="s">
        <v>22</v>
      </c>
      <c r="H224" s="4" t="s">
        <v>3913</v>
      </c>
      <c r="I224" s="4" t="s">
        <v>20</v>
      </c>
      <c r="J224" s="4" t="s">
        <v>3904</v>
      </c>
      <c r="K224" s="4" t="s">
        <v>22</v>
      </c>
      <c r="L224" s="4" t="s">
        <v>3905</v>
      </c>
      <c r="M224" s="4" t="s">
        <v>22</v>
      </c>
      <c r="N224" s="7" t="n">
        <v>3</v>
      </c>
      <c r="O224" s="4" t="s">
        <v>3906</v>
      </c>
      <c r="P224" s="10" t="n">
        <v>0.189</v>
      </c>
    </row>
    <row r="225" customFormat="false" ht="15" hidden="false" customHeight="false" outlineLevel="0" collapsed="false">
      <c r="A225" s="4" t="s">
        <v>1803</v>
      </c>
      <c r="B225" s="7" t="n">
        <v>2024</v>
      </c>
      <c r="C225" s="4" t="s">
        <v>15</v>
      </c>
      <c r="D225" s="4" t="s">
        <v>3907</v>
      </c>
      <c r="E225" s="4" t="s">
        <v>20</v>
      </c>
      <c r="F225" s="4" t="s">
        <v>3908</v>
      </c>
      <c r="G225" s="4" t="s">
        <v>20</v>
      </c>
      <c r="H225" s="4" t="s">
        <v>3909</v>
      </c>
      <c r="I225" s="4" t="s">
        <v>24</v>
      </c>
      <c r="J225" s="4" t="s">
        <v>3904</v>
      </c>
      <c r="K225" s="4" t="s">
        <v>22</v>
      </c>
      <c r="L225" s="4" t="s">
        <v>3905</v>
      </c>
      <c r="M225" s="4" t="s">
        <v>23</v>
      </c>
      <c r="N225" s="7" t="n">
        <v>2</v>
      </c>
      <c r="O225" s="4" t="s">
        <v>3910</v>
      </c>
      <c r="P225" s="11"/>
    </row>
    <row r="226" customFormat="false" ht="15" hidden="false" customHeight="false" outlineLevel="0" collapsed="false">
      <c r="A226" s="4" t="s">
        <v>1811</v>
      </c>
      <c r="B226" s="7" t="n">
        <v>2022</v>
      </c>
      <c r="C226" s="4" t="s">
        <v>14</v>
      </c>
      <c r="D226" s="4" t="s">
        <v>3914</v>
      </c>
      <c r="E226" s="4" t="s">
        <v>22</v>
      </c>
      <c r="F226" s="4" t="s">
        <v>3908</v>
      </c>
      <c r="G226" s="4" t="s">
        <v>23</v>
      </c>
      <c r="H226" s="4" t="s">
        <v>3909</v>
      </c>
      <c r="I226" s="4" t="s">
        <v>21</v>
      </c>
      <c r="J226" s="4" t="s">
        <v>3904</v>
      </c>
      <c r="K226" s="4" t="s">
        <v>22</v>
      </c>
      <c r="L226" s="4" t="s">
        <v>3905</v>
      </c>
      <c r="M226" s="4" t="s">
        <v>24</v>
      </c>
      <c r="N226" s="7" t="n">
        <v>3</v>
      </c>
      <c r="O226" s="4" t="s">
        <v>3906</v>
      </c>
      <c r="P226" s="10" t="n">
        <v>1.2675</v>
      </c>
    </row>
    <row r="227" customFormat="false" ht="15" hidden="false" customHeight="false" outlineLevel="0" collapsed="false">
      <c r="A227" s="4" t="s">
        <v>1819</v>
      </c>
      <c r="B227" s="7" t="n">
        <v>2022</v>
      </c>
      <c r="C227" s="4" t="s">
        <v>14</v>
      </c>
      <c r="D227" s="4" t="s">
        <v>3914</v>
      </c>
      <c r="E227" s="4" t="s">
        <v>22</v>
      </c>
      <c r="F227" s="4" t="s">
        <v>3908</v>
      </c>
      <c r="G227" s="4" t="s">
        <v>23</v>
      </c>
      <c r="H227" s="4" t="s">
        <v>3909</v>
      </c>
      <c r="I227" s="4" t="s">
        <v>22</v>
      </c>
      <c r="J227" s="4" t="s">
        <v>3904</v>
      </c>
      <c r="K227" s="4" t="s">
        <v>24</v>
      </c>
      <c r="L227" s="4" t="s">
        <v>3905</v>
      </c>
      <c r="M227" s="4" t="s">
        <v>24</v>
      </c>
      <c r="N227" s="7" t="n">
        <v>3</v>
      </c>
      <c r="O227" s="4" t="s">
        <v>3906</v>
      </c>
      <c r="P227" s="10" t="n">
        <v>0.9823</v>
      </c>
    </row>
    <row r="228" customFormat="false" ht="15" hidden="false" customHeight="false" outlineLevel="0" collapsed="false">
      <c r="A228" s="4" t="s">
        <v>1826</v>
      </c>
      <c r="B228" s="7" t="n">
        <v>2024</v>
      </c>
      <c r="C228" s="4" t="s">
        <v>18</v>
      </c>
      <c r="D228" s="4" t="s">
        <v>3915</v>
      </c>
      <c r="E228" s="4" t="s">
        <v>23</v>
      </c>
      <c r="F228" s="4" t="s">
        <v>3916</v>
      </c>
      <c r="G228" s="4" t="s">
        <v>22</v>
      </c>
      <c r="H228" s="4" t="s">
        <v>3917</v>
      </c>
      <c r="I228" s="4" t="s">
        <v>23</v>
      </c>
      <c r="J228" s="4" t="s">
        <v>3904</v>
      </c>
      <c r="K228" s="4" t="s">
        <v>22</v>
      </c>
      <c r="L228" s="4" t="s">
        <v>3905</v>
      </c>
      <c r="M228" s="4" t="s">
        <v>20</v>
      </c>
      <c r="N228" s="7" t="n">
        <v>3</v>
      </c>
      <c r="O228" s="4" t="s">
        <v>3906</v>
      </c>
      <c r="P228" s="10" t="n">
        <v>1.4096</v>
      </c>
    </row>
    <row r="229" customFormat="false" ht="15" hidden="false" customHeight="false" outlineLevel="0" collapsed="false">
      <c r="A229" s="4" t="s">
        <v>1834</v>
      </c>
      <c r="B229" s="7" t="n">
        <v>2025</v>
      </c>
      <c r="C229" s="4" t="s">
        <v>14</v>
      </c>
      <c r="D229" s="4" t="s">
        <v>3914</v>
      </c>
      <c r="E229" s="4" t="s">
        <v>23</v>
      </c>
      <c r="F229" s="4" t="s">
        <v>3908</v>
      </c>
      <c r="G229" s="4" t="s">
        <v>23</v>
      </c>
      <c r="H229" s="4" t="s">
        <v>3909</v>
      </c>
      <c r="I229" s="4" t="s">
        <v>21</v>
      </c>
      <c r="J229" s="4" t="s">
        <v>3904</v>
      </c>
      <c r="K229" s="4" t="s">
        <v>21</v>
      </c>
      <c r="L229" s="4" t="s">
        <v>3905</v>
      </c>
      <c r="M229" s="4" t="s">
        <v>21</v>
      </c>
      <c r="N229" s="7" t="n">
        <v>3</v>
      </c>
      <c r="O229" s="4" t="s">
        <v>3906</v>
      </c>
      <c r="P229" s="10" t="n">
        <v>0.5953</v>
      </c>
    </row>
    <row r="230" customFormat="false" ht="15" hidden="false" customHeight="false" outlineLevel="0" collapsed="false">
      <c r="A230" s="4" t="s">
        <v>1842</v>
      </c>
      <c r="B230" s="7" t="n">
        <v>2023</v>
      </c>
      <c r="C230" s="4" t="s">
        <v>18</v>
      </c>
      <c r="D230" s="4" t="s">
        <v>3915</v>
      </c>
      <c r="E230" s="4" t="s">
        <v>21</v>
      </c>
      <c r="F230" s="4" t="s">
        <v>3916</v>
      </c>
      <c r="G230" s="4" t="s">
        <v>21</v>
      </c>
      <c r="H230" s="4" t="s">
        <v>3917</v>
      </c>
      <c r="I230" s="4" t="s">
        <v>21</v>
      </c>
      <c r="J230" s="4" t="s">
        <v>3904</v>
      </c>
      <c r="K230" s="4" t="s">
        <v>20</v>
      </c>
      <c r="L230" s="4" t="s">
        <v>3905</v>
      </c>
      <c r="M230" s="4" t="s">
        <v>21</v>
      </c>
      <c r="N230" s="7" t="n">
        <v>3</v>
      </c>
      <c r="O230" s="4" t="s">
        <v>3906</v>
      </c>
      <c r="P230" s="10" t="n">
        <v>0.5579</v>
      </c>
    </row>
    <row r="231" customFormat="false" ht="15" hidden="false" customHeight="false" outlineLevel="0" collapsed="false">
      <c r="A231" s="4" t="s">
        <v>1850</v>
      </c>
      <c r="B231" s="7" t="n">
        <v>2025</v>
      </c>
      <c r="C231" s="4" t="s">
        <v>18</v>
      </c>
      <c r="D231" s="4" t="s">
        <v>3915</v>
      </c>
      <c r="E231" s="4" t="s">
        <v>21</v>
      </c>
      <c r="F231" s="4" t="s">
        <v>3916</v>
      </c>
      <c r="G231" s="4" t="s">
        <v>21</v>
      </c>
      <c r="H231" s="4" t="s">
        <v>3917</v>
      </c>
      <c r="I231" s="4" t="s">
        <v>21</v>
      </c>
      <c r="J231" s="4" t="s">
        <v>3904</v>
      </c>
      <c r="K231" s="4" t="s">
        <v>22</v>
      </c>
      <c r="L231" s="4" t="s">
        <v>3905</v>
      </c>
      <c r="M231" s="4" t="s">
        <v>23</v>
      </c>
      <c r="N231" s="7" t="n">
        <v>3</v>
      </c>
      <c r="O231" s="4" t="s">
        <v>3906</v>
      </c>
      <c r="P231" s="10" t="n">
        <v>-1.4531</v>
      </c>
    </row>
    <row r="232" customFormat="false" ht="15" hidden="false" customHeight="false" outlineLevel="0" collapsed="false">
      <c r="A232" s="4" t="s">
        <v>1857</v>
      </c>
      <c r="B232" s="7" t="n">
        <v>2021</v>
      </c>
      <c r="C232" s="4" t="s">
        <v>17</v>
      </c>
      <c r="D232" s="4" t="s">
        <v>3901</v>
      </c>
      <c r="E232" s="4" t="s">
        <v>22</v>
      </c>
      <c r="F232" s="4" t="s">
        <v>3902</v>
      </c>
      <c r="G232" s="4" t="s">
        <v>20</v>
      </c>
      <c r="H232" s="4" t="s">
        <v>3903</v>
      </c>
      <c r="I232" s="4" t="s">
        <v>21</v>
      </c>
      <c r="J232" s="4" t="s">
        <v>3904</v>
      </c>
      <c r="K232" s="4" t="s">
        <v>20</v>
      </c>
      <c r="L232" s="4" t="s">
        <v>3905</v>
      </c>
      <c r="M232" s="4" t="s">
        <v>22</v>
      </c>
      <c r="N232" s="7" t="n">
        <v>3</v>
      </c>
      <c r="O232" s="4" t="s">
        <v>3906</v>
      </c>
      <c r="P232" s="10" t="n">
        <v>-1.0699</v>
      </c>
    </row>
    <row r="233" customFormat="false" ht="15" hidden="false" customHeight="false" outlineLevel="0" collapsed="false">
      <c r="A233" s="4" t="s">
        <v>1865</v>
      </c>
      <c r="B233" s="7" t="n">
        <v>2023</v>
      </c>
      <c r="C233" s="4" t="s">
        <v>18</v>
      </c>
      <c r="D233" s="4" t="s">
        <v>3915</v>
      </c>
      <c r="E233" s="4" t="s">
        <v>23</v>
      </c>
      <c r="F233" s="4" t="s">
        <v>3916</v>
      </c>
      <c r="G233" s="4" t="s">
        <v>22</v>
      </c>
      <c r="H233" s="4" t="s">
        <v>3917</v>
      </c>
      <c r="I233" s="4" t="s">
        <v>24</v>
      </c>
      <c r="J233" s="4" t="s">
        <v>3904</v>
      </c>
      <c r="K233" s="4" t="s">
        <v>24</v>
      </c>
      <c r="L233" s="4" t="s">
        <v>3905</v>
      </c>
      <c r="M233" s="4" t="s">
        <v>24</v>
      </c>
      <c r="N233" s="7" t="n">
        <v>2</v>
      </c>
      <c r="O233" s="4" t="s">
        <v>3910</v>
      </c>
      <c r="P233" s="11"/>
    </row>
    <row r="234" customFormat="false" ht="15" hidden="false" customHeight="false" outlineLevel="0" collapsed="false">
      <c r="A234" s="4" t="s">
        <v>1872</v>
      </c>
      <c r="B234" s="7" t="n">
        <v>2022</v>
      </c>
      <c r="C234" s="4" t="s">
        <v>18</v>
      </c>
      <c r="D234" s="4" t="s">
        <v>3915</v>
      </c>
      <c r="E234" s="4" t="s">
        <v>21</v>
      </c>
      <c r="F234" s="4" t="s">
        <v>3916</v>
      </c>
      <c r="G234" s="4" t="s">
        <v>21</v>
      </c>
      <c r="H234" s="4" t="s">
        <v>3917</v>
      </c>
      <c r="I234" s="4" t="s">
        <v>21</v>
      </c>
      <c r="J234" s="4" t="s">
        <v>3904</v>
      </c>
      <c r="K234" s="4" t="s">
        <v>20</v>
      </c>
      <c r="L234" s="4" t="s">
        <v>3905</v>
      </c>
      <c r="M234" s="4" t="s">
        <v>21</v>
      </c>
      <c r="N234" s="7" t="n">
        <v>3</v>
      </c>
      <c r="O234" s="4" t="s">
        <v>3906</v>
      </c>
      <c r="P234" s="10" t="n">
        <v>2.2363</v>
      </c>
    </row>
    <row r="235" customFormat="false" ht="15" hidden="false" customHeight="false" outlineLevel="0" collapsed="false">
      <c r="A235" s="4" t="s">
        <v>1880</v>
      </c>
      <c r="B235" s="7" t="n">
        <v>2022</v>
      </c>
      <c r="C235" s="4" t="s">
        <v>15</v>
      </c>
      <c r="D235" s="4" t="s">
        <v>3907</v>
      </c>
      <c r="E235" s="4" t="s">
        <v>22</v>
      </c>
      <c r="F235" s="4" t="s">
        <v>3908</v>
      </c>
      <c r="G235" s="4" t="s">
        <v>23</v>
      </c>
      <c r="H235" s="4" t="s">
        <v>3909</v>
      </c>
      <c r="I235" s="4" t="s">
        <v>23</v>
      </c>
      <c r="J235" s="4" t="s">
        <v>3904</v>
      </c>
      <c r="K235" s="4" t="s">
        <v>22</v>
      </c>
      <c r="L235" s="4" t="s">
        <v>3905</v>
      </c>
      <c r="M235" s="4" t="s">
        <v>23</v>
      </c>
      <c r="N235" s="7" t="n">
        <v>3</v>
      </c>
      <c r="O235" s="4" t="s">
        <v>3906</v>
      </c>
      <c r="P235" s="10" t="n">
        <v>0.4356</v>
      </c>
    </row>
    <row r="236" customFormat="false" ht="15" hidden="false" customHeight="false" outlineLevel="0" collapsed="false">
      <c r="A236" s="4" t="s">
        <v>1888</v>
      </c>
      <c r="B236" s="7" t="n">
        <v>2023</v>
      </c>
      <c r="C236" s="4" t="s">
        <v>15</v>
      </c>
      <c r="D236" s="4" t="s">
        <v>3907</v>
      </c>
      <c r="E236" s="4" t="s">
        <v>21</v>
      </c>
      <c r="F236" s="4" t="s">
        <v>3908</v>
      </c>
      <c r="G236" s="4" t="s">
        <v>24</v>
      </c>
      <c r="H236" s="4" t="s">
        <v>3909</v>
      </c>
      <c r="I236" s="4" t="s">
        <v>24</v>
      </c>
      <c r="J236" s="4" t="s">
        <v>3904</v>
      </c>
      <c r="K236" s="4" t="s">
        <v>23</v>
      </c>
      <c r="L236" s="4" t="s">
        <v>3905</v>
      </c>
      <c r="M236" s="4" t="s">
        <v>24</v>
      </c>
      <c r="N236" s="7" t="n">
        <v>1</v>
      </c>
      <c r="O236" s="4" t="s">
        <v>3910</v>
      </c>
      <c r="P236" s="11"/>
    </row>
    <row r="237" customFormat="false" ht="15" hidden="false" customHeight="false" outlineLevel="0" collapsed="false">
      <c r="A237" s="4" t="s">
        <v>1896</v>
      </c>
      <c r="B237" s="7" t="n">
        <v>2022</v>
      </c>
      <c r="C237" s="4" t="s">
        <v>17</v>
      </c>
      <c r="D237" s="4" t="s">
        <v>3901</v>
      </c>
      <c r="E237" s="4" t="s">
        <v>24</v>
      </c>
      <c r="F237" s="4" t="s">
        <v>3902</v>
      </c>
      <c r="G237" s="4" t="s">
        <v>23</v>
      </c>
      <c r="H237" s="4" t="s">
        <v>3903</v>
      </c>
      <c r="I237" s="4" t="s">
        <v>21</v>
      </c>
      <c r="J237" s="4" t="s">
        <v>3904</v>
      </c>
      <c r="K237" s="4" t="s">
        <v>23</v>
      </c>
      <c r="L237" s="4" t="s">
        <v>3905</v>
      </c>
      <c r="M237" s="4" t="s">
        <v>22</v>
      </c>
      <c r="N237" s="7" t="n">
        <v>2</v>
      </c>
      <c r="O237" s="4" t="s">
        <v>3910</v>
      </c>
      <c r="P237" s="11"/>
    </row>
    <row r="238" customFormat="false" ht="15" hidden="false" customHeight="false" outlineLevel="0" collapsed="false">
      <c r="A238" s="4" t="s">
        <v>1903</v>
      </c>
      <c r="B238" s="7" t="n">
        <v>2025</v>
      </c>
      <c r="C238" s="4" t="s">
        <v>16</v>
      </c>
      <c r="D238" s="4" t="s">
        <v>3911</v>
      </c>
      <c r="E238" s="4" t="s">
        <v>21</v>
      </c>
      <c r="F238" s="4" t="s">
        <v>3912</v>
      </c>
      <c r="G238" s="4" t="s">
        <v>21</v>
      </c>
      <c r="H238" s="4" t="s">
        <v>3913</v>
      </c>
      <c r="I238" s="4" t="s">
        <v>24</v>
      </c>
      <c r="J238" s="4" t="s">
        <v>3904</v>
      </c>
      <c r="K238" s="4" t="s">
        <v>23</v>
      </c>
      <c r="L238" s="4" t="s">
        <v>3905</v>
      </c>
      <c r="M238" s="4" t="s">
        <v>23</v>
      </c>
      <c r="N238" s="7" t="n">
        <v>2</v>
      </c>
      <c r="O238" s="4" t="s">
        <v>3910</v>
      </c>
      <c r="P238" s="11"/>
    </row>
    <row r="239" customFormat="false" ht="15" hidden="false" customHeight="false" outlineLevel="0" collapsed="false">
      <c r="A239" s="4" t="s">
        <v>1910</v>
      </c>
      <c r="B239" s="7" t="n">
        <v>2024</v>
      </c>
      <c r="C239" s="4" t="s">
        <v>15</v>
      </c>
      <c r="D239" s="4" t="s">
        <v>3907</v>
      </c>
      <c r="E239" s="4" t="s">
        <v>21</v>
      </c>
      <c r="F239" s="4" t="s">
        <v>3908</v>
      </c>
      <c r="G239" s="4" t="s">
        <v>21</v>
      </c>
      <c r="H239" s="4" t="s">
        <v>3909</v>
      </c>
      <c r="I239" s="4" t="s">
        <v>22</v>
      </c>
      <c r="J239" s="4" t="s">
        <v>3904</v>
      </c>
      <c r="K239" s="4" t="s">
        <v>20</v>
      </c>
      <c r="L239" s="4" t="s">
        <v>3905</v>
      </c>
      <c r="M239" s="4" t="s">
        <v>21</v>
      </c>
      <c r="N239" s="7" t="n">
        <v>3</v>
      </c>
      <c r="O239" s="4" t="s">
        <v>3906</v>
      </c>
      <c r="P239" s="10" t="n">
        <v>0.8761</v>
      </c>
    </row>
    <row r="240" customFormat="false" ht="15" hidden="false" customHeight="false" outlineLevel="0" collapsed="false">
      <c r="A240" s="4" t="s">
        <v>1916</v>
      </c>
      <c r="B240" s="7" t="n">
        <v>2022</v>
      </c>
      <c r="C240" s="4" t="s">
        <v>14</v>
      </c>
      <c r="D240" s="4" t="s">
        <v>3914</v>
      </c>
      <c r="E240" s="4" t="s">
        <v>23</v>
      </c>
      <c r="F240" s="4" t="s">
        <v>3908</v>
      </c>
      <c r="G240" s="4" t="s">
        <v>23</v>
      </c>
      <c r="H240" s="4" t="s">
        <v>3909</v>
      </c>
      <c r="I240" s="4" t="s">
        <v>23</v>
      </c>
      <c r="J240" s="4" t="s">
        <v>3904</v>
      </c>
      <c r="K240" s="4" t="s">
        <v>20</v>
      </c>
      <c r="L240" s="4" t="s">
        <v>3905</v>
      </c>
      <c r="M240" s="4" t="s">
        <v>22</v>
      </c>
      <c r="N240" s="7" t="n">
        <v>3</v>
      </c>
      <c r="O240" s="4" t="s">
        <v>3906</v>
      </c>
      <c r="P240" s="10" t="n">
        <v>1.1733</v>
      </c>
    </row>
    <row r="241" customFormat="false" ht="15" hidden="false" customHeight="false" outlineLevel="0" collapsed="false">
      <c r="A241" s="4" t="s">
        <v>1924</v>
      </c>
      <c r="B241" s="7" t="n">
        <v>2024</v>
      </c>
      <c r="C241" s="4" t="s">
        <v>15</v>
      </c>
      <c r="D241" s="4" t="s">
        <v>3907</v>
      </c>
      <c r="E241" s="4" t="s">
        <v>21</v>
      </c>
      <c r="F241" s="4" t="s">
        <v>3908</v>
      </c>
      <c r="G241" s="4" t="s">
        <v>22</v>
      </c>
      <c r="H241" s="4" t="s">
        <v>3909</v>
      </c>
      <c r="I241" s="4" t="s">
        <v>20</v>
      </c>
      <c r="J241" s="4" t="s">
        <v>3904</v>
      </c>
      <c r="K241" s="4" t="s">
        <v>21</v>
      </c>
      <c r="L241" s="4" t="s">
        <v>3905</v>
      </c>
      <c r="M241" s="4" t="s">
        <v>20</v>
      </c>
      <c r="N241" s="7" t="n">
        <v>3</v>
      </c>
      <c r="O241" s="4" t="s">
        <v>3906</v>
      </c>
      <c r="P241" s="10" t="n">
        <v>0.8937</v>
      </c>
    </row>
    <row r="242" customFormat="false" ht="15" hidden="false" customHeight="false" outlineLevel="0" collapsed="false">
      <c r="A242" s="4" t="s">
        <v>1932</v>
      </c>
      <c r="B242" s="7" t="n">
        <v>2025</v>
      </c>
      <c r="C242" s="4" t="s">
        <v>15</v>
      </c>
      <c r="D242" s="4" t="s">
        <v>3907</v>
      </c>
      <c r="E242" s="4" t="s">
        <v>22</v>
      </c>
      <c r="F242" s="4" t="s">
        <v>3908</v>
      </c>
      <c r="G242" s="4" t="s">
        <v>21</v>
      </c>
      <c r="H242" s="4" t="s">
        <v>3909</v>
      </c>
      <c r="I242" s="4" t="s">
        <v>23</v>
      </c>
      <c r="J242" s="4" t="s">
        <v>3904</v>
      </c>
      <c r="K242" s="4" t="s">
        <v>20</v>
      </c>
      <c r="L242" s="4" t="s">
        <v>3905</v>
      </c>
      <c r="M242" s="4" t="s">
        <v>23</v>
      </c>
      <c r="N242" s="7" t="n">
        <v>3</v>
      </c>
      <c r="O242" s="4" t="s">
        <v>3906</v>
      </c>
      <c r="P242" s="10" t="n">
        <v>-0.8685</v>
      </c>
    </row>
    <row r="243" customFormat="false" ht="15" hidden="false" customHeight="false" outlineLevel="0" collapsed="false">
      <c r="A243" s="4" t="s">
        <v>1940</v>
      </c>
      <c r="B243" s="7" t="n">
        <v>2023</v>
      </c>
      <c r="C243" s="4" t="s">
        <v>16</v>
      </c>
      <c r="D243" s="4" t="s">
        <v>3911</v>
      </c>
      <c r="E243" s="4" t="s">
        <v>22</v>
      </c>
      <c r="F243" s="4" t="s">
        <v>3912</v>
      </c>
      <c r="G243" s="4" t="s">
        <v>24</v>
      </c>
      <c r="H243" s="4" t="s">
        <v>3913</v>
      </c>
      <c r="I243" s="4" t="s">
        <v>20</v>
      </c>
      <c r="J243" s="4" t="s">
        <v>3904</v>
      </c>
      <c r="K243" s="4" t="s">
        <v>22</v>
      </c>
      <c r="L243" s="4" t="s">
        <v>3905</v>
      </c>
      <c r="M243" s="4" t="s">
        <v>21</v>
      </c>
      <c r="N243" s="7" t="n">
        <v>2</v>
      </c>
      <c r="O243" s="4" t="s">
        <v>3910</v>
      </c>
      <c r="P243" s="11"/>
    </row>
    <row r="244" customFormat="false" ht="15" hidden="false" customHeight="false" outlineLevel="0" collapsed="false">
      <c r="A244" s="4" t="s">
        <v>1947</v>
      </c>
      <c r="B244" s="7" t="n">
        <v>2023</v>
      </c>
      <c r="C244" s="4" t="s">
        <v>18</v>
      </c>
      <c r="D244" s="4" t="s">
        <v>3915</v>
      </c>
      <c r="E244" s="4" t="s">
        <v>21</v>
      </c>
      <c r="F244" s="4" t="s">
        <v>3916</v>
      </c>
      <c r="G244" s="4" t="s">
        <v>23</v>
      </c>
      <c r="H244" s="4" t="s">
        <v>3917</v>
      </c>
      <c r="I244" s="4" t="s">
        <v>22</v>
      </c>
      <c r="J244" s="4" t="s">
        <v>3904</v>
      </c>
      <c r="K244" s="4" t="s">
        <v>21</v>
      </c>
      <c r="L244" s="4" t="s">
        <v>3905</v>
      </c>
      <c r="M244" s="4" t="s">
        <v>23</v>
      </c>
      <c r="N244" s="7" t="n">
        <v>3</v>
      </c>
      <c r="O244" s="4" t="s">
        <v>3906</v>
      </c>
      <c r="P244" s="10" t="n">
        <v>1.8111</v>
      </c>
    </row>
    <row r="245" customFormat="false" ht="15" hidden="false" customHeight="false" outlineLevel="0" collapsed="false">
      <c r="A245" s="4" t="s">
        <v>1954</v>
      </c>
      <c r="B245" s="7" t="n">
        <v>2023</v>
      </c>
      <c r="C245" s="4" t="s">
        <v>16</v>
      </c>
      <c r="D245" s="4" t="s">
        <v>3911</v>
      </c>
      <c r="E245" s="4" t="s">
        <v>20</v>
      </c>
      <c r="F245" s="4" t="s">
        <v>3912</v>
      </c>
      <c r="G245" s="4" t="s">
        <v>23</v>
      </c>
      <c r="H245" s="4" t="s">
        <v>3913</v>
      </c>
      <c r="I245" s="4" t="s">
        <v>23</v>
      </c>
      <c r="J245" s="4" t="s">
        <v>3904</v>
      </c>
      <c r="K245" s="4" t="s">
        <v>23</v>
      </c>
      <c r="L245" s="4" t="s">
        <v>3905</v>
      </c>
      <c r="M245" s="4" t="s">
        <v>21</v>
      </c>
      <c r="N245" s="7" t="n">
        <v>3</v>
      </c>
      <c r="O245" s="4" t="s">
        <v>3906</v>
      </c>
      <c r="P245" s="10" t="n">
        <v>0.1115</v>
      </c>
    </row>
    <row r="246" customFormat="false" ht="15" hidden="false" customHeight="false" outlineLevel="0" collapsed="false">
      <c r="A246" s="4" t="s">
        <v>1962</v>
      </c>
      <c r="B246" s="7" t="n">
        <v>2023</v>
      </c>
      <c r="C246" s="4" t="s">
        <v>16</v>
      </c>
      <c r="D246" s="4" t="s">
        <v>3911</v>
      </c>
      <c r="E246" s="4" t="s">
        <v>21</v>
      </c>
      <c r="F246" s="4" t="s">
        <v>3912</v>
      </c>
      <c r="G246" s="4" t="s">
        <v>23</v>
      </c>
      <c r="H246" s="4" t="s">
        <v>3913</v>
      </c>
      <c r="I246" s="4" t="s">
        <v>22</v>
      </c>
      <c r="J246" s="4" t="s">
        <v>3904</v>
      </c>
      <c r="K246" s="4" t="s">
        <v>23</v>
      </c>
      <c r="L246" s="4" t="s">
        <v>3905</v>
      </c>
      <c r="M246" s="4" t="s">
        <v>21</v>
      </c>
      <c r="N246" s="7" t="n">
        <v>3</v>
      </c>
      <c r="O246" s="4" t="s">
        <v>3906</v>
      </c>
      <c r="P246" s="10" t="n">
        <v>1.0536</v>
      </c>
    </row>
    <row r="247" customFormat="false" ht="15" hidden="false" customHeight="false" outlineLevel="0" collapsed="false">
      <c r="A247" s="4" t="s">
        <v>1969</v>
      </c>
      <c r="B247" s="7" t="n">
        <v>2021</v>
      </c>
      <c r="C247" s="4" t="s">
        <v>18</v>
      </c>
      <c r="D247" s="4" t="s">
        <v>3915</v>
      </c>
      <c r="E247" s="4" t="s">
        <v>22</v>
      </c>
      <c r="F247" s="4" t="s">
        <v>3916</v>
      </c>
      <c r="G247" s="4" t="s">
        <v>20</v>
      </c>
      <c r="H247" s="4" t="s">
        <v>3917</v>
      </c>
      <c r="I247" s="4" t="s">
        <v>20</v>
      </c>
      <c r="J247" s="4" t="s">
        <v>3904</v>
      </c>
      <c r="K247" s="4" t="s">
        <v>21</v>
      </c>
      <c r="L247" s="4" t="s">
        <v>3905</v>
      </c>
      <c r="M247" s="4" t="s">
        <v>21</v>
      </c>
      <c r="N247" s="7" t="n">
        <v>3</v>
      </c>
      <c r="O247" s="4" t="s">
        <v>3906</v>
      </c>
      <c r="P247" s="10" t="n">
        <v>-0.7847</v>
      </c>
    </row>
    <row r="248" customFormat="false" ht="15" hidden="false" customHeight="false" outlineLevel="0" collapsed="false">
      <c r="A248" s="4" t="s">
        <v>1977</v>
      </c>
      <c r="B248" s="7" t="n">
        <v>2025</v>
      </c>
      <c r="C248" s="4" t="s">
        <v>17</v>
      </c>
      <c r="D248" s="4" t="s">
        <v>3901</v>
      </c>
      <c r="E248" s="4" t="s">
        <v>22</v>
      </c>
      <c r="F248" s="4" t="s">
        <v>3902</v>
      </c>
      <c r="G248" s="4" t="s">
        <v>24</v>
      </c>
      <c r="H248" s="4" t="s">
        <v>3903</v>
      </c>
      <c r="I248" s="4" t="s">
        <v>21</v>
      </c>
      <c r="J248" s="4" t="s">
        <v>3904</v>
      </c>
      <c r="K248" s="4" t="s">
        <v>20</v>
      </c>
      <c r="L248" s="4" t="s">
        <v>3905</v>
      </c>
      <c r="M248" s="4" t="s">
        <v>21</v>
      </c>
      <c r="N248" s="7" t="n">
        <v>2</v>
      </c>
      <c r="O248" s="4" t="s">
        <v>3910</v>
      </c>
      <c r="P248" s="11"/>
    </row>
    <row r="249" customFormat="false" ht="15" hidden="false" customHeight="false" outlineLevel="0" collapsed="false">
      <c r="A249" s="4" t="s">
        <v>1985</v>
      </c>
      <c r="B249" s="7" t="n">
        <v>2022</v>
      </c>
      <c r="C249" s="4" t="s">
        <v>16</v>
      </c>
      <c r="D249" s="4" t="s">
        <v>3911</v>
      </c>
      <c r="E249" s="4" t="s">
        <v>20</v>
      </c>
      <c r="F249" s="4" t="s">
        <v>3912</v>
      </c>
      <c r="G249" s="4" t="s">
        <v>21</v>
      </c>
      <c r="H249" s="4" t="s">
        <v>3913</v>
      </c>
      <c r="I249" s="4" t="s">
        <v>24</v>
      </c>
      <c r="J249" s="4" t="s">
        <v>3904</v>
      </c>
      <c r="K249" s="4" t="s">
        <v>24</v>
      </c>
      <c r="L249" s="4" t="s">
        <v>3905</v>
      </c>
      <c r="M249" s="4" t="s">
        <v>21</v>
      </c>
      <c r="N249" s="7" t="n">
        <v>2</v>
      </c>
      <c r="O249" s="4" t="s">
        <v>3910</v>
      </c>
      <c r="P249" s="11"/>
    </row>
    <row r="250" customFormat="false" ht="15" hidden="false" customHeight="false" outlineLevel="0" collapsed="false">
      <c r="A250" s="4" t="s">
        <v>1993</v>
      </c>
      <c r="B250" s="7" t="n">
        <v>2022</v>
      </c>
      <c r="C250" s="4" t="s">
        <v>16</v>
      </c>
      <c r="D250" s="4" t="s">
        <v>3911</v>
      </c>
      <c r="E250" s="4" t="s">
        <v>22</v>
      </c>
      <c r="F250" s="4" t="s">
        <v>3912</v>
      </c>
      <c r="G250" s="4" t="s">
        <v>22</v>
      </c>
      <c r="H250" s="4" t="s">
        <v>3913</v>
      </c>
      <c r="I250" s="4" t="s">
        <v>21</v>
      </c>
      <c r="J250" s="4" t="s">
        <v>3904</v>
      </c>
      <c r="K250" s="4" t="s">
        <v>22</v>
      </c>
      <c r="L250" s="4" t="s">
        <v>3905</v>
      </c>
      <c r="M250" s="4" t="s">
        <v>24</v>
      </c>
      <c r="N250" s="7" t="n">
        <v>3</v>
      </c>
      <c r="O250" s="4" t="s">
        <v>3906</v>
      </c>
      <c r="P250" s="10" t="n">
        <v>-1.3978</v>
      </c>
    </row>
    <row r="251" customFormat="false" ht="15" hidden="false" customHeight="false" outlineLevel="0" collapsed="false">
      <c r="A251" s="4" t="s">
        <v>2001</v>
      </c>
      <c r="B251" s="7" t="n">
        <v>2021</v>
      </c>
      <c r="C251" s="4" t="s">
        <v>14</v>
      </c>
      <c r="D251" s="4" t="s">
        <v>3914</v>
      </c>
      <c r="E251" s="4" t="s">
        <v>21</v>
      </c>
      <c r="F251" s="4" t="s">
        <v>3908</v>
      </c>
      <c r="G251" s="4" t="s">
        <v>22</v>
      </c>
      <c r="H251" s="4" t="s">
        <v>3909</v>
      </c>
      <c r="I251" s="4" t="s">
        <v>22</v>
      </c>
      <c r="J251" s="4" t="s">
        <v>3904</v>
      </c>
      <c r="K251" s="4" t="s">
        <v>24</v>
      </c>
      <c r="L251" s="4" t="s">
        <v>3905</v>
      </c>
      <c r="M251" s="4" t="s">
        <v>21</v>
      </c>
      <c r="N251" s="7" t="n">
        <v>3</v>
      </c>
      <c r="O251" s="4" t="s">
        <v>3906</v>
      </c>
      <c r="P251" s="10" t="n">
        <v>1.4312</v>
      </c>
    </row>
    <row r="252" customFormat="false" ht="15" hidden="false" customHeight="false" outlineLevel="0" collapsed="false">
      <c r="A252" s="4" t="s">
        <v>2008</v>
      </c>
      <c r="B252" s="7" t="n">
        <v>2025</v>
      </c>
      <c r="C252" s="4" t="s">
        <v>15</v>
      </c>
      <c r="D252" s="4" t="s">
        <v>3907</v>
      </c>
      <c r="E252" s="4" t="s">
        <v>21</v>
      </c>
      <c r="F252" s="4" t="s">
        <v>3908</v>
      </c>
      <c r="G252" s="4" t="s">
        <v>21</v>
      </c>
      <c r="H252" s="4" t="s">
        <v>3909</v>
      </c>
      <c r="I252" s="4" t="s">
        <v>21</v>
      </c>
      <c r="J252" s="4" t="s">
        <v>3904</v>
      </c>
      <c r="K252" s="4" t="s">
        <v>21</v>
      </c>
      <c r="L252" s="4" t="s">
        <v>3905</v>
      </c>
      <c r="M252" s="4" t="s">
        <v>21</v>
      </c>
      <c r="N252" s="7" t="n">
        <v>3</v>
      </c>
      <c r="O252" s="4" t="s">
        <v>3906</v>
      </c>
      <c r="P252" s="10" t="n">
        <v>-1.3647</v>
      </c>
    </row>
    <row r="253" customFormat="false" ht="15" hidden="false" customHeight="false" outlineLevel="0" collapsed="false">
      <c r="A253" s="4" t="s">
        <v>2016</v>
      </c>
      <c r="B253" s="7" t="n">
        <v>2024</v>
      </c>
      <c r="C253" s="4" t="s">
        <v>16</v>
      </c>
      <c r="D253" s="4" t="s">
        <v>3911</v>
      </c>
      <c r="E253" s="4" t="s">
        <v>22</v>
      </c>
      <c r="F253" s="4" t="s">
        <v>3912</v>
      </c>
      <c r="G253" s="4" t="s">
        <v>24</v>
      </c>
      <c r="H253" s="4" t="s">
        <v>3913</v>
      </c>
      <c r="I253" s="4" t="s">
        <v>22</v>
      </c>
      <c r="J253" s="4" t="s">
        <v>3904</v>
      </c>
      <c r="K253" s="4" t="s">
        <v>22</v>
      </c>
      <c r="L253" s="4" t="s">
        <v>3905</v>
      </c>
      <c r="M253" s="4" t="s">
        <v>23</v>
      </c>
      <c r="N253" s="7" t="n">
        <v>2</v>
      </c>
      <c r="O253" s="4" t="s">
        <v>3910</v>
      </c>
      <c r="P253" s="11"/>
    </row>
    <row r="254" customFormat="false" ht="15" hidden="false" customHeight="false" outlineLevel="0" collapsed="false">
      <c r="A254" s="4" t="s">
        <v>2024</v>
      </c>
      <c r="B254" s="7" t="n">
        <v>2023</v>
      </c>
      <c r="C254" s="4" t="s">
        <v>15</v>
      </c>
      <c r="D254" s="4" t="s">
        <v>3907</v>
      </c>
      <c r="E254" s="4" t="s">
        <v>21</v>
      </c>
      <c r="F254" s="4" t="s">
        <v>3908</v>
      </c>
      <c r="G254" s="4" t="s">
        <v>24</v>
      </c>
      <c r="H254" s="4" t="s">
        <v>3909</v>
      </c>
      <c r="I254" s="4" t="s">
        <v>20</v>
      </c>
      <c r="J254" s="4" t="s">
        <v>3904</v>
      </c>
      <c r="K254" s="4" t="s">
        <v>21</v>
      </c>
      <c r="L254" s="4" t="s">
        <v>3905</v>
      </c>
      <c r="M254" s="4" t="s">
        <v>21</v>
      </c>
      <c r="N254" s="7" t="n">
        <v>2</v>
      </c>
      <c r="O254" s="4" t="s">
        <v>3910</v>
      </c>
      <c r="P254" s="11"/>
    </row>
    <row r="255" customFormat="false" ht="15" hidden="false" customHeight="false" outlineLevel="0" collapsed="false">
      <c r="A255" s="4" t="s">
        <v>2032</v>
      </c>
      <c r="B255" s="7" t="n">
        <v>2024</v>
      </c>
      <c r="C255" s="4" t="s">
        <v>15</v>
      </c>
      <c r="D255" s="4" t="s">
        <v>3907</v>
      </c>
      <c r="E255" s="4" t="s">
        <v>24</v>
      </c>
      <c r="F255" s="4" t="s">
        <v>3908</v>
      </c>
      <c r="G255" s="4" t="s">
        <v>20</v>
      </c>
      <c r="H255" s="4" t="s">
        <v>3909</v>
      </c>
      <c r="I255" s="4" t="s">
        <v>21</v>
      </c>
      <c r="J255" s="4" t="s">
        <v>3904</v>
      </c>
      <c r="K255" s="4" t="s">
        <v>21</v>
      </c>
      <c r="L255" s="4" t="s">
        <v>3905</v>
      </c>
      <c r="M255" s="4" t="s">
        <v>20</v>
      </c>
      <c r="N255" s="7" t="n">
        <v>2</v>
      </c>
      <c r="O255" s="4" t="s">
        <v>3910</v>
      </c>
      <c r="P255" s="11"/>
    </row>
    <row r="256" customFormat="false" ht="15" hidden="false" customHeight="false" outlineLevel="0" collapsed="false">
      <c r="A256" s="4" t="s">
        <v>2039</v>
      </c>
      <c r="B256" s="7" t="n">
        <v>2023</v>
      </c>
      <c r="C256" s="4" t="s">
        <v>17</v>
      </c>
      <c r="D256" s="4" t="s">
        <v>3901</v>
      </c>
      <c r="E256" s="4" t="s">
        <v>22</v>
      </c>
      <c r="F256" s="4" t="s">
        <v>3902</v>
      </c>
      <c r="G256" s="4" t="s">
        <v>24</v>
      </c>
      <c r="H256" s="4" t="s">
        <v>3903</v>
      </c>
      <c r="I256" s="4" t="s">
        <v>22</v>
      </c>
      <c r="J256" s="4" t="s">
        <v>3904</v>
      </c>
      <c r="K256" s="4" t="s">
        <v>23</v>
      </c>
      <c r="L256" s="4" t="s">
        <v>3905</v>
      </c>
      <c r="M256" s="4" t="s">
        <v>24</v>
      </c>
      <c r="N256" s="7" t="n">
        <v>2</v>
      </c>
      <c r="O256" s="4" t="s">
        <v>3910</v>
      </c>
      <c r="P256" s="11"/>
    </row>
    <row r="257" customFormat="false" ht="15" hidden="false" customHeight="false" outlineLevel="0" collapsed="false">
      <c r="A257" s="4" t="s">
        <v>2047</v>
      </c>
      <c r="B257" s="7" t="n">
        <v>2023</v>
      </c>
      <c r="C257" s="4" t="s">
        <v>14</v>
      </c>
      <c r="D257" s="4" t="s">
        <v>3914</v>
      </c>
      <c r="E257" s="4" t="s">
        <v>23</v>
      </c>
      <c r="F257" s="4" t="s">
        <v>3908</v>
      </c>
      <c r="G257" s="4" t="s">
        <v>24</v>
      </c>
      <c r="H257" s="4" t="s">
        <v>3909</v>
      </c>
      <c r="I257" s="4" t="s">
        <v>23</v>
      </c>
      <c r="J257" s="4" t="s">
        <v>3904</v>
      </c>
      <c r="K257" s="4" t="s">
        <v>20</v>
      </c>
      <c r="L257" s="4" t="s">
        <v>3905</v>
      </c>
      <c r="M257" s="4" t="s">
        <v>21</v>
      </c>
      <c r="N257" s="7" t="n">
        <v>2</v>
      </c>
      <c r="O257" s="4" t="s">
        <v>3910</v>
      </c>
      <c r="P257" s="11"/>
    </row>
    <row r="258" customFormat="false" ht="15" hidden="false" customHeight="false" outlineLevel="0" collapsed="false">
      <c r="A258" s="4" t="s">
        <v>2055</v>
      </c>
      <c r="B258" s="7" t="n">
        <v>2021</v>
      </c>
      <c r="C258" s="4" t="s">
        <v>14</v>
      </c>
      <c r="D258" s="4" t="s">
        <v>3914</v>
      </c>
      <c r="E258" s="4" t="s">
        <v>20</v>
      </c>
      <c r="F258" s="4" t="s">
        <v>3908</v>
      </c>
      <c r="G258" s="4" t="s">
        <v>20</v>
      </c>
      <c r="H258" s="4" t="s">
        <v>3909</v>
      </c>
      <c r="I258" s="4" t="s">
        <v>22</v>
      </c>
      <c r="J258" s="4" t="s">
        <v>3904</v>
      </c>
      <c r="K258" s="4" t="s">
        <v>20</v>
      </c>
      <c r="L258" s="4" t="s">
        <v>3905</v>
      </c>
      <c r="M258" s="4" t="s">
        <v>23</v>
      </c>
      <c r="N258" s="7" t="n">
        <v>3</v>
      </c>
      <c r="O258" s="4" t="s">
        <v>3906</v>
      </c>
      <c r="P258" s="10" t="n">
        <v>0.6414</v>
      </c>
    </row>
    <row r="259" customFormat="false" ht="15" hidden="false" customHeight="false" outlineLevel="0" collapsed="false">
      <c r="A259" s="4" t="s">
        <v>2063</v>
      </c>
      <c r="B259" s="7" t="n">
        <v>2022</v>
      </c>
      <c r="C259" s="4" t="s">
        <v>16</v>
      </c>
      <c r="D259" s="4" t="s">
        <v>3911</v>
      </c>
      <c r="E259" s="4" t="s">
        <v>23</v>
      </c>
      <c r="F259" s="4" t="s">
        <v>3912</v>
      </c>
      <c r="G259" s="4" t="s">
        <v>20</v>
      </c>
      <c r="H259" s="4" t="s">
        <v>3913</v>
      </c>
      <c r="I259" s="4" t="s">
        <v>24</v>
      </c>
      <c r="J259" s="4" t="s">
        <v>3904</v>
      </c>
      <c r="K259" s="4" t="s">
        <v>21</v>
      </c>
      <c r="L259" s="4" t="s">
        <v>3905</v>
      </c>
      <c r="M259" s="4" t="s">
        <v>21</v>
      </c>
      <c r="N259" s="7" t="n">
        <v>2</v>
      </c>
      <c r="O259" s="4" t="s">
        <v>3910</v>
      </c>
      <c r="P259" s="11"/>
    </row>
    <row r="260" customFormat="false" ht="15" hidden="false" customHeight="false" outlineLevel="0" collapsed="false">
      <c r="A260" s="4" t="s">
        <v>2071</v>
      </c>
      <c r="B260" s="7" t="n">
        <v>2023</v>
      </c>
      <c r="C260" s="4" t="s">
        <v>17</v>
      </c>
      <c r="D260" s="4" t="s">
        <v>3901</v>
      </c>
      <c r="E260" s="4" t="s">
        <v>21</v>
      </c>
      <c r="F260" s="4" t="s">
        <v>3902</v>
      </c>
      <c r="G260" s="4" t="s">
        <v>22</v>
      </c>
      <c r="H260" s="4" t="s">
        <v>3903</v>
      </c>
      <c r="I260" s="4" t="s">
        <v>22</v>
      </c>
      <c r="J260" s="4" t="s">
        <v>3904</v>
      </c>
      <c r="K260" s="4" t="s">
        <v>22</v>
      </c>
      <c r="L260" s="4" t="s">
        <v>3905</v>
      </c>
      <c r="M260" s="4" t="s">
        <v>22</v>
      </c>
      <c r="N260" s="7" t="n">
        <v>3</v>
      </c>
      <c r="O260" s="4" t="s">
        <v>3906</v>
      </c>
      <c r="P260" s="10" t="n">
        <v>1.4694</v>
      </c>
    </row>
    <row r="261" customFormat="false" ht="15" hidden="false" customHeight="false" outlineLevel="0" collapsed="false">
      <c r="A261" s="4" t="s">
        <v>2077</v>
      </c>
      <c r="B261" s="7" t="n">
        <v>2025</v>
      </c>
      <c r="C261" s="4" t="s">
        <v>16</v>
      </c>
      <c r="D261" s="4" t="s">
        <v>3911</v>
      </c>
      <c r="E261" s="4" t="s">
        <v>22</v>
      </c>
      <c r="F261" s="4" t="s">
        <v>3912</v>
      </c>
      <c r="G261" s="4" t="s">
        <v>21</v>
      </c>
      <c r="H261" s="4" t="s">
        <v>3913</v>
      </c>
      <c r="I261" s="4" t="s">
        <v>24</v>
      </c>
      <c r="J261" s="4" t="s">
        <v>3904</v>
      </c>
      <c r="K261" s="4" t="s">
        <v>22</v>
      </c>
      <c r="L261" s="4" t="s">
        <v>3905</v>
      </c>
      <c r="M261" s="4" t="s">
        <v>20</v>
      </c>
      <c r="N261" s="7" t="n">
        <v>2</v>
      </c>
      <c r="O261" s="4" t="s">
        <v>3910</v>
      </c>
      <c r="P261" s="11"/>
    </row>
    <row r="262" customFormat="false" ht="15" hidden="false" customHeight="false" outlineLevel="0" collapsed="false">
      <c r="A262" s="4" t="s">
        <v>2085</v>
      </c>
      <c r="B262" s="7" t="n">
        <v>2022</v>
      </c>
      <c r="C262" s="4" t="s">
        <v>17</v>
      </c>
      <c r="D262" s="4" t="s">
        <v>3901</v>
      </c>
      <c r="E262" s="4" t="s">
        <v>24</v>
      </c>
      <c r="F262" s="4" t="s">
        <v>3902</v>
      </c>
      <c r="G262" s="4" t="s">
        <v>23</v>
      </c>
      <c r="H262" s="4" t="s">
        <v>3903</v>
      </c>
      <c r="I262" s="4" t="s">
        <v>21</v>
      </c>
      <c r="J262" s="4" t="s">
        <v>3904</v>
      </c>
      <c r="K262" s="4" t="s">
        <v>21</v>
      </c>
      <c r="L262" s="4" t="s">
        <v>3905</v>
      </c>
      <c r="M262" s="4" t="s">
        <v>23</v>
      </c>
      <c r="N262" s="7" t="n">
        <v>2</v>
      </c>
      <c r="O262" s="4" t="s">
        <v>3910</v>
      </c>
      <c r="P262" s="11"/>
    </row>
    <row r="263" customFormat="false" ht="15" hidden="false" customHeight="false" outlineLevel="0" collapsed="false">
      <c r="A263" s="4" t="s">
        <v>2093</v>
      </c>
      <c r="B263" s="7" t="n">
        <v>2023</v>
      </c>
      <c r="C263" s="4" t="s">
        <v>15</v>
      </c>
      <c r="D263" s="4" t="s">
        <v>3907</v>
      </c>
      <c r="E263" s="4" t="s">
        <v>20</v>
      </c>
      <c r="F263" s="4" t="s">
        <v>3908</v>
      </c>
      <c r="G263" s="4" t="s">
        <v>20</v>
      </c>
      <c r="H263" s="4" t="s">
        <v>3909</v>
      </c>
      <c r="I263" s="4" t="s">
        <v>21</v>
      </c>
      <c r="J263" s="4" t="s">
        <v>3904</v>
      </c>
      <c r="K263" s="4" t="s">
        <v>22</v>
      </c>
      <c r="L263" s="4" t="s">
        <v>3905</v>
      </c>
      <c r="M263" s="4" t="s">
        <v>21</v>
      </c>
      <c r="N263" s="7" t="n">
        <v>3</v>
      </c>
      <c r="O263" s="4" t="s">
        <v>3906</v>
      </c>
      <c r="P263" s="10" t="n">
        <v>-0.4199</v>
      </c>
    </row>
    <row r="264" customFormat="false" ht="15" hidden="false" customHeight="false" outlineLevel="0" collapsed="false">
      <c r="A264" s="4" t="s">
        <v>2100</v>
      </c>
      <c r="B264" s="7" t="n">
        <v>2023</v>
      </c>
      <c r="C264" s="4" t="s">
        <v>17</v>
      </c>
      <c r="D264" s="4" t="s">
        <v>3901</v>
      </c>
      <c r="E264" s="4" t="s">
        <v>23</v>
      </c>
      <c r="F264" s="4" t="s">
        <v>3902</v>
      </c>
      <c r="G264" s="4" t="s">
        <v>23</v>
      </c>
      <c r="H264" s="4" t="s">
        <v>3903</v>
      </c>
      <c r="I264" s="4" t="s">
        <v>20</v>
      </c>
      <c r="J264" s="4" t="s">
        <v>3904</v>
      </c>
      <c r="K264" s="4" t="s">
        <v>24</v>
      </c>
      <c r="L264" s="4" t="s">
        <v>3905</v>
      </c>
      <c r="M264" s="4" t="s">
        <v>21</v>
      </c>
      <c r="N264" s="7" t="n">
        <v>3</v>
      </c>
      <c r="O264" s="4" t="s">
        <v>3906</v>
      </c>
      <c r="P264" s="10" t="n">
        <v>0.6497</v>
      </c>
    </row>
    <row r="265" customFormat="false" ht="15" hidden="false" customHeight="false" outlineLevel="0" collapsed="false">
      <c r="A265" s="4" t="s">
        <v>2107</v>
      </c>
      <c r="B265" s="7" t="n">
        <v>2024</v>
      </c>
      <c r="C265" s="4" t="s">
        <v>16</v>
      </c>
      <c r="D265" s="4" t="s">
        <v>3911</v>
      </c>
      <c r="E265" s="4" t="s">
        <v>22</v>
      </c>
      <c r="F265" s="4" t="s">
        <v>3912</v>
      </c>
      <c r="G265" s="4" t="s">
        <v>22</v>
      </c>
      <c r="H265" s="4" t="s">
        <v>3913</v>
      </c>
      <c r="I265" s="4" t="s">
        <v>21</v>
      </c>
      <c r="J265" s="4" t="s">
        <v>3904</v>
      </c>
      <c r="K265" s="4" t="s">
        <v>23</v>
      </c>
      <c r="L265" s="4" t="s">
        <v>3905</v>
      </c>
      <c r="M265" s="4" t="s">
        <v>24</v>
      </c>
      <c r="N265" s="7" t="n">
        <v>3</v>
      </c>
      <c r="O265" s="4" t="s">
        <v>3906</v>
      </c>
      <c r="P265" s="10" t="n">
        <v>1.8943</v>
      </c>
    </row>
    <row r="266" customFormat="false" ht="15" hidden="false" customHeight="false" outlineLevel="0" collapsed="false">
      <c r="A266" s="4" t="s">
        <v>2115</v>
      </c>
      <c r="B266" s="7" t="n">
        <v>2023</v>
      </c>
      <c r="C266" s="4" t="s">
        <v>14</v>
      </c>
      <c r="D266" s="4" t="s">
        <v>3914</v>
      </c>
      <c r="E266" s="4" t="s">
        <v>24</v>
      </c>
      <c r="F266" s="4" t="s">
        <v>3908</v>
      </c>
      <c r="G266" s="4" t="s">
        <v>22</v>
      </c>
      <c r="H266" s="4" t="s">
        <v>3909</v>
      </c>
      <c r="I266" s="4" t="s">
        <v>22</v>
      </c>
      <c r="J266" s="4" t="s">
        <v>3904</v>
      </c>
      <c r="K266" s="4" t="s">
        <v>22</v>
      </c>
      <c r="L266" s="4" t="s">
        <v>3905</v>
      </c>
      <c r="M266" s="4" t="s">
        <v>20</v>
      </c>
      <c r="N266" s="7" t="n">
        <v>2</v>
      </c>
      <c r="O266" s="4" t="s">
        <v>3910</v>
      </c>
      <c r="P266" s="11"/>
    </row>
    <row r="267" customFormat="false" ht="15" hidden="false" customHeight="false" outlineLevel="0" collapsed="false">
      <c r="A267" s="4" t="s">
        <v>2123</v>
      </c>
      <c r="B267" s="7" t="n">
        <v>2021</v>
      </c>
      <c r="C267" s="4" t="s">
        <v>15</v>
      </c>
      <c r="D267" s="4" t="s">
        <v>3907</v>
      </c>
      <c r="E267" s="4" t="s">
        <v>20</v>
      </c>
      <c r="F267" s="4" t="s">
        <v>3908</v>
      </c>
      <c r="G267" s="4" t="s">
        <v>23</v>
      </c>
      <c r="H267" s="4" t="s">
        <v>3909</v>
      </c>
      <c r="I267" s="4" t="s">
        <v>23</v>
      </c>
      <c r="J267" s="4" t="s">
        <v>3904</v>
      </c>
      <c r="K267" s="4" t="s">
        <v>22</v>
      </c>
      <c r="L267" s="4" t="s">
        <v>3905</v>
      </c>
      <c r="M267" s="4" t="s">
        <v>21</v>
      </c>
      <c r="N267" s="7" t="n">
        <v>3</v>
      </c>
      <c r="O267" s="4" t="s">
        <v>3906</v>
      </c>
      <c r="P267" s="10" t="n">
        <v>0.0765</v>
      </c>
    </row>
    <row r="268" customFormat="false" ht="15" hidden="false" customHeight="false" outlineLevel="0" collapsed="false">
      <c r="A268" s="4" t="s">
        <v>2131</v>
      </c>
      <c r="B268" s="7" t="n">
        <v>2023</v>
      </c>
      <c r="C268" s="4" t="s">
        <v>14</v>
      </c>
      <c r="D268" s="4" t="s">
        <v>3914</v>
      </c>
      <c r="E268" s="4" t="s">
        <v>21</v>
      </c>
      <c r="F268" s="4" t="s">
        <v>3908</v>
      </c>
      <c r="G268" s="4" t="s">
        <v>23</v>
      </c>
      <c r="H268" s="4" t="s">
        <v>3909</v>
      </c>
      <c r="I268" s="4" t="s">
        <v>23</v>
      </c>
      <c r="J268" s="4" t="s">
        <v>3904</v>
      </c>
      <c r="K268" s="4" t="s">
        <v>20</v>
      </c>
      <c r="L268" s="4" t="s">
        <v>3905</v>
      </c>
      <c r="M268" s="4" t="s">
        <v>22</v>
      </c>
      <c r="N268" s="7" t="n">
        <v>3</v>
      </c>
      <c r="O268" s="4" t="s">
        <v>3906</v>
      </c>
      <c r="P268" s="10" t="n">
        <v>1.9183</v>
      </c>
    </row>
    <row r="269" customFormat="false" ht="15" hidden="false" customHeight="false" outlineLevel="0" collapsed="false">
      <c r="A269" s="4" t="s">
        <v>2139</v>
      </c>
      <c r="B269" s="7" t="n">
        <v>2021</v>
      </c>
      <c r="C269" s="4" t="s">
        <v>14</v>
      </c>
      <c r="D269" s="4" t="s">
        <v>3914</v>
      </c>
      <c r="E269" s="4" t="s">
        <v>22</v>
      </c>
      <c r="F269" s="4" t="s">
        <v>3908</v>
      </c>
      <c r="G269" s="4" t="s">
        <v>23</v>
      </c>
      <c r="H269" s="4" t="s">
        <v>3909</v>
      </c>
      <c r="I269" s="4" t="s">
        <v>21</v>
      </c>
      <c r="J269" s="4" t="s">
        <v>3904</v>
      </c>
      <c r="K269" s="4" t="s">
        <v>21</v>
      </c>
      <c r="L269" s="4" t="s">
        <v>3905</v>
      </c>
      <c r="M269" s="4" t="s">
        <v>20</v>
      </c>
      <c r="N269" s="7" t="n">
        <v>3</v>
      </c>
      <c r="O269" s="4" t="s">
        <v>3906</v>
      </c>
      <c r="P269" s="10" t="n">
        <v>0.327</v>
      </c>
    </row>
    <row r="270" customFormat="false" ht="15" hidden="false" customHeight="false" outlineLevel="0" collapsed="false">
      <c r="A270" s="4" t="s">
        <v>2146</v>
      </c>
      <c r="B270" s="7" t="n">
        <v>2021</v>
      </c>
      <c r="C270" s="4" t="s">
        <v>15</v>
      </c>
      <c r="D270" s="4" t="s">
        <v>3907</v>
      </c>
      <c r="E270" s="4" t="s">
        <v>23</v>
      </c>
      <c r="F270" s="4" t="s">
        <v>3908</v>
      </c>
      <c r="G270" s="4" t="s">
        <v>21</v>
      </c>
      <c r="H270" s="4" t="s">
        <v>3909</v>
      </c>
      <c r="I270" s="4" t="s">
        <v>23</v>
      </c>
      <c r="J270" s="4" t="s">
        <v>3904</v>
      </c>
      <c r="K270" s="4" t="s">
        <v>22</v>
      </c>
      <c r="L270" s="4" t="s">
        <v>3905</v>
      </c>
      <c r="M270" s="4" t="s">
        <v>23</v>
      </c>
      <c r="N270" s="7" t="n">
        <v>3</v>
      </c>
      <c r="O270" s="4" t="s">
        <v>3906</v>
      </c>
      <c r="P270" s="10" t="n">
        <v>0.639</v>
      </c>
    </row>
    <row r="271" customFormat="false" ht="15" hidden="false" customHeight="false" outlineLevel="0" collapsed="false">
      <c r="A271" s="4" t="s">
        <v>2154</v>
      </c>
      <c r="B271" s="7" t="n">
        <v>2024</v>
      </c>
      <c r="C271" s="4" t="s">
        <v>15</v>
      </c>
      <c r="D271" s="4" t="s">
        <v>3907</v>
      </c>
      <c r="E271" s="4" t="s">
        <v>21</v>
      </c>
      <c r="F271" s="4" t="s">
        <v>3908</v>
      </c>
      <c r="G271" s="4" t="s">
        <v>23</v>
      </c>
      <c r="H271" s="4" t="s">
        <v>3909</v>
      </c>
      <c r="I271" s="4" t="s">
        <v>20</v>
      </c>
      <c r="J271" s="4" t="s">
        <v>3904</v>
      </c>
      <c r="K271" s="4" t="s">
        <v>24</v>
      </c>
      <c r="L271" s="4" t="s">
        <v>3905</v>
      </c>
      <c r="M271" s="4" t="s">
        <v>21</v>
      </c>
      <c r="N271" s="7" t="n">
        <v>3</v>
      </c>
      <c r="O271" s="4" t="s">
        <v>3906</v>
      </c>
      <c r="P271" s="10" t="n">
        <v>1.892</v>
      </c>
    </row>
    <row r="272" customFormat="false" ht="15" hidden="false" customHeight="false" outlineLevel="0" collapsed="false">
      <c r="A272" s="4" t="s">
        <v>2161</v>
      </c>
      <c r="B272" s="7" t="n">
        <v>2025</v>
      </c>
      <c r="C272" s="4" t="s">
        <v>17</v>
      </c>
      <c r="D272" s="4" t="s">
        <v>3901</v>
      </c>
      <c r="E272" s="4" t="s">
        <v>23</v>
      </c>
      <c r="F272" s="4" t="s">
        <v>3902</v>
      </c>
      <c r="G272" s="4" t="s">
        <v>21</v>
      </c>
      <c r="H272" s="4" t="s">
        <v>3903</v>
      </c>
      <c r="I272" s="4" t="s">
        <v>23</v>
      </c>
      <c r="J272" s="4" t="s">
        <v>3904</v>
      </c>
      <c r="K272" s="4" t="s">
        <v>22</v>
      </c>
      <c r="L272" s="4" t="s">
        <v>3905</v>
      </c>
      <c r="M272" s="4" t="s">
        <v>22</v>
      </c>
      <c r="N272" s="7" t="n">
        <v>3</v>
      </c>
      <c r="O272" s="4" t="s">
        <v>3906</v>
      </c>
      <c r="P272" s="10" t="n">
        <v>0.1434</v>
      </c>
    </row>
    <row r="273" customFormat="false" ht="15" hidden="false" customHeight="false" outlineLevel="0" collapsed="false">
      <c r="A273" s="4" t="s">
        <v>2169</v>
      </c>
      <c r="B273" s="7" t="n">
        <v>2023</v>
      </c>
      <c r="C273" s="4" t="s">
        <v>16</v>
      </c>
      <c r="D273" s="4" t="s">
        <v>3911</v>
      </c>
      <c r="E273" s="4" t="s">
        <v>22</v>
      </c>
      <c r="F273" s="4" t="s">
        <v>3912</v>
      </c>
      <c r="G273" s="4" t="s">
        <v>22</v>
      </c>
      <c r="H273" s="4" t="s">
        <v>3913</v>
      </c>
      <c r="I273" s="4" t="s">
        <v>22</v>
      </c>
      <c r="J273" s="4" t="s">
        <v>3904</v>
      </c>
      <c r="K273" s="4" t="s">
        <v>23</v>
      </c>
      <c r="L273" s="4" t="s">
        <v>3905</v>
      </c>
      <c r="M273" s="4" t="s">
        <v>22</v>
      </c>
      <c r="N273" s="7" t="n">
        <v>3</v>
      </c>
      <c r="O273" s="4" t="s">
        <v>3906</v>
      </c>
      <c r="P273" s="10" t="n">
        <v>-1.3485</v>
      </c>
    </row>
    <row r="274" customFormat="false" ht="15" hidden="false" customHeight="false" outlineLevel="0" collapsed="false">
      <c r="A274" s="4" t="s">
        <v>2177</v>
      </c>
      <c r="B274" s="7" t="n">
        <v>2023</v>
      </c>
      <c r="C274" s="4" t="s">
        <v>17</v>
      </c>
      <c r="D274" s="4" t="s">
        <v>3901</v>
      </c>
      <c r="E274" s="4" t="s">
        <v>24</v>
      </c>
      <c r="F274" s="4" t="s">
        <v>3902</v>
      </c>
      <c r="G274" s="4" t="s">
        <v>20</v>
      </c>
      <c r="H274" s="4" t="s">
        <v>3903</v>
      </c>
      <c r="I274" s="4" t="s">
        <v>21</v>
      </c>
      <c r="J274" s="4" t="s">
        <v>3904</v>
      </c>
      <c r="K274" s="4" t="s">
        <v>22</v>
      </c>
      <c r="L274" s="4" t="s">
        <v>3905</v>
      </c>
      <c r="M274" s="4" t="s">
        <v>22</v>
      </c>
      <c r="N274" s="7" t="n">
        <v>2</v>
      </c>
      <c r="O274" s="4" t="s">
        <v>3910</v>
      </c>
      <c r="P274" s="11"/>
    </row>
    <row r="275" customFormat="false" ht="15" hidden="false" customHeight="false" outlineLevel="0" collapsed="false">
      <c r="A275" s="4" t="s">
        <v>2184</v>
      </c>
      <c r="B275" s="7" t="n">
        <v>2025</v>
      </c>
      <c r="C275" s="4" t="s">
        <v>15</v>
      </c>
      <c r="D275" s="4" t="s">
        <v>3907</v>
      </c>
      <c r="E275" s="4" t="s">
        <v>20</v>
      </c>
      <c r="F275" s="4" t="s">
        <v>3908</v>
      </c>
      <c r="G275" s="4" t="s">
        <v>21</v>
      </c>
      <c r="H275" s="4" t="s">
        <v>3909</v>
      </c>
      <c r="I275" s="4" t="s">
        <v>24</v>
      </c>
      <c r="J275" s="4" t="s">
        <v>3904</v>
      </c>
      <c r="K275" s="4" t="s">
        <v>23</v>
      </c>
      <c r="L275" s="4" t="s">
        <v>3905</v>
      </c>
      <c r="M275" s="4" t="s">
        <v>22</v>
      </c>
      <c r="N275" s="7" t="n">
        <v>2</v>
      </c>
      <c r="O275" s="4" t="s">
        <v>3910</v>
      </c>
      <c r="P275" s="11"/>
    </row>
    <row r="276" customFormat="false" ht="15" hidden="false" customHeight="false" outlineLevel="0" collapsed="false">
      <c r="A276" s="4" t="s">
        <v>2192</v>
      </c>
      <c r="B276" s="7" t="n">
        <v>2023</v>
      </c>
      <c r="C276" s="4" t="s">
        <v>18</v>
      </c>
      <c r="D276" s="4" t="s">
        <v>3915</v>
      </c>
      <c r="E276" s="4" t="s">
        <v>22</v>
      </c>
      <c r="F276" s="4" t="s">
        <v>3916</v>
      </c>
      <c r="G276" s="4" t="s">
        <v>21</v>
      </c>
      <c r="H276" s="4" t="s">
        <v>3917</v>
      </c>
      <c r="I276" s="4" t="s">
        <v>22</v>
      </c>
      <c r="J276" s="4" t="s">
        <v>3904</v>
      </c>
      <c r="K276" s="4" t="s">
        <v>20</v>
      </c>
      <c r="L276" s="4" t="s">
        <v>3905</v>
      </c>
      <c r="M276" s="4" t="s">
        <v>24</v>
      </c>
      <c r="N276" s="7" t="n">
        <v>3</v>
      </c>
      <c r="O276" s="4" t="s">
        <v>3906</v>
      </c>
      <c r="P276" s="10" t="n">
        <v>-1.416</v>
      </c>
    </row>
    <row r="277" customFormat="false" ht="15" hidden="false" customHeight="false" outlineLevel="0" collapsed="false">
      <c r="A277" s="4" t="s">
        <v>2200</v>
      </c>
      <c r="B277" s="7" t="n">
        <v>2024</v>
      </c>
      <c r="C277" s="4" t="s">
        <v>16</v>
      </c>
      <c r="D277" s="4" t="s">
        <v>3911</v>
      </c>
      <c r="E277" s="4" t="s">
        <v>23</v>
      </c>
      <c r="F277" s="4" t="s">
        <v>3912</v>
      </c>
      <c r="G277" s="4" t="s">
        <v>21</v>
      </c>
      <c r="H277" s="4" t="s">
        <v>3913</v>
      </c>
      <c r="I277" s="4" t="s">
        <v>22</v>
      </c>
      <c r="J277" s="4" t="s">
        <v>3904</v>
      </c>
      <c r="K277" s="4" t="s">
        <v>23</v>
      </c>
      <c r="L277" s="4" t="s">
        <v>3905</v>
      </c>
      <c r="M277" s="4" t="s">
        <v>20</v>
      </c>
      <c r="N277" s="7" t="n">
        <v>3</v>
      </c>
      <c r="O277" s="4" t="s">
        <v>3906</v>
      </c>
      <c r="P277" s="10" t="n">
        <v>-0.8113</v>
      </c>
    </row>
    <row r="278" customFormat="false" ht="15" hidden="false" customHeight="false" outlineLevel="0" collapsed="false">
      <c r="A278" s="4" t="s">
        <v>2208</v>
      </c>
      <c r="B278" s="7" t="n">
        <v>2021</v>
      </c>
      <c r="C278" s="4" t="s">
        <v>15</v>
      </c>
      <c r="D278" s="4" t="s">
        <v>3907</v>
      </c>
      <c r="E278" s="4" t="s">
        <v>22</v>
      </c>
      <c r="F278" s="4" t="s">
        <v>3908</v>
      </c>
      <c r="G278" s="4" t="s">
        <v>23</v>
      </c>
      <c r="H278" s="4" t="s">
        <v>3909</v>
      </c>
      <c r="I278" s="4" t="s">
        <v>24</v>
      </c>
      <c r="J278" s="4" t="s">
        <v>3904</v>
      </c>
      <c r="K278" s="4" t="s">
        <v>21</v>
      </c>
      <c r="L278" s="4" t="s">
        <v>3905</v>
      </c>
      <c r="M278" s="4" t="s">
        <v>22</v>
      </c>
      <c r="N278" s="7" t="n">
        <v>2</v>
      </c>
      <c r="O278" s="4" t="s">
        <v>3910</v>
      </c>
      <c r="P278" s="11"/>
    </row>
    <row r="279" customFormat="false" ht="15" hidden="false" customHeight="false" outlineLevel="0" collapsed="false">
      <c r="A279" s="4" t="s">
        <v>2216</v>
      </c>
      <c r="B279" s="7" t="n">
        <v>2025</v>
      </c>
      <c r="C279" s="4" t="s">
        <v>16</v>
      </c>
      <c r="D279" s="4" t="s">
        <v>3911</v>
      </c>
      <c r="E279" s="4" t="s">
        <v>21</v>
      </c>
      <c r="F279" s="4" t="s">
        <v>3912</v>
      </c>
      <c r="G279" s="4" t="s">
        <v>24</v>
      </c>
      <c r="H279" s="4" t="s">
        <v>3913</v>
      </c>
      <c r="I279" s="4" t="s">
        <v>24</v>
      </c>
      <c r="J279" s="4" t="s">
        <v>3904</v>
      </c>
      <c r="K279" s="4" t="s">
        <v>23</v>
      </c>
      <c r="L279" s="4" t="s">
        <v>3905</v>
      </c>
      <c r="M279" s="4" t="s">
        <v>24</v>
      </c>
      <c r="N279" s="7" t="n">
        <v>1</v>
      </c>
      <c r="O279" s="4" t="s">
        <v>3910</v>
      </c>
      <c r="P279" s="11"/>
    </row>
    <row r="280" customFormat="false" ht="15" hidden="false" customHeight="false" outlineLevel="0" collapsed="false">
      <c r="A280" s="4" t="s">
        <v>2223</v>
      </c>
      <c r="B280" s="7" t="n">
        <v>2024</v>
      </c>
      <c r="C280" s="4" t="s">
        <v>15</v>
      </c>
      <c r="D280" s="4" t="s">
        <v>3907</v>
      </c>
      <c r="E280" s="4" t="s">
        <v>21</v>
      </c>
      <c r="F280" s="4" t="s">
        <v>3908</v>
      </c>
      <c r="G280" s="4" t="s">
        <v>24</v>
      </c>
      <c r="H280" s="4" t="s">
        <v>3909</v>
      </c>
      <c r="I280" s="4" t="s">
        <v>20</v>
      </c>
      <c r="J280" s="4" t="s">
        <v>3904</v>
      </c>
      <c r="K280" s="4" t="s">
        <v>23</v>
      </c>
      <c r="L280" s="4" t="s">
        <v>3905</v>
      </c>
      <c r="M280" s="4" t="s">
        <v>23</v>
      </c>
      <c r="N280" s="7" t="n">
        <v>2</v>
      </c>
      <c r="O280" s="4" t="s">
        <v>3910</v>
      </c>
      <c r="P280" s="11"/>
    </row>
    <row r="281" customFormat="false" ht="15" hidden="false" customHeight="false" outlineLevel="0" collapsed="false">
      <c r="A281" s="4" t="s">
        <v>2230</v>
      </c>
      <c r="B281" s="7" t="n">
        <v>2025</v>
      </c>
      <c r="C281" s="4" t="s">
        <v>16</v>
      </c>
      <c r="D281" s="4" t="s">
        <v>3911</v>
      </c>
      <c r="E281" s="4" t="s">
        <v>22</v>
      </c>
      <c r="F281" s="4" t="s">
        <v>3912</v>
      </c>
      <c r="G281" s="4" t="s">
        <v>21</v>
      </c>
      <c r="H281" s="4" t="s">
        <v>3913</v>
      </c>
      <c r="I281" s="4" t="s">
        <v>21</v>
      </c>
      <c r="J281" s="4" t="s">
        <v>3904</v>
      </c>
      <c r="K281" s="4" t="s">
        <v>21</v>
      </c>
      <c r="L281" s="4" t="s">
        <v>3905</v>
      </c>
      <c r="M281" s="4" t="s">
        <v>24</v>
      </c>
      <c r="N281" s="7" t="n">
        <v>3</v>
      </c>
      <c r="O281" s="4" t="s">
        <v>3906</v>
      </c>
      <c r="P281" s="10" t="n">
        <v>1.6036</v>
      </c>
    </row>
    <row r="282" customFormat="false" ht="15" hidden="false" customHeight="false" outlineLevel="0" collapsed="false">
      <c r="A282" s="4" t="s">
        <v>2238</v>
      </c>
      <c r="B282" s="7" t="n">
        <v>2021</v>
      </c>
      <c r="C282" s="4" t="s">
        <v>17</v>
      </c>
      <c r="D282" s="4" t="s">
        <v>3901</v>
      </c>
      <c r="E282" s="4" t="s">
        <v>20</v>
      </c>
      <c r="F282" s="4" t="s">
        <v>3902</v>
      </c>
      <c r="G282" s="4" t="s">
        <v>21</v>
      </c>
      <c r="H282" s="4" t="s">
        <v>3903</v>
      </c>
      <c r="I282" s="4" t="s">
        <v>20</v>
      </c>
      <c r="J282" s="4" t="s">
        <v>3904</v>
      </c>
      <c r="K282" s="4" t="s">
        <v>22</v>
      </c>
      <c r="L282" s="4" t="s">
        <v>3905</v>
      </c>
      <c r="M282" s="4" t="s">
        <v>20</v>
      </c>
      <c r="N282" s="7" t="n">
        <v>3</v>
      </c>
      <c r="O282" s="4" t="s">
        <v>3906</v>
      </c>
      <c r="P282" s="10" t="n">
        <v>0.1566</v>
      </c>
    </row>
    <row r="283" customFormat="false" ht="15" hidden="false" customHeight="false" outlineLevel="0" collapsed="false">
      <c r="A283" s="4" t="s">
        <v>2246</v>
      </c>
      <c r="B283" s="7" t="n">
        <v>2023</v>
      </c>
      <c r="C283" s="4" t="s">
        <v>15</v>
      </c>
      <c r="D283" s="4" t="s">
        <v>3907</v>
      </c>
      <c r="E283" s="4" t="s">
        <v>22</v>
      </c>
      <c r="F283" s="4" t="s">
        <v>3908</v>
      </c>
      <c r="G283" s="4" t="s">
        <v>20</v>
      </c>
      <c r="H283" s="4" t="s">
        <v>3909</v>
      </c>
      <c r="I283" s="4" t="s">
        <v>23</v>
      </c>
      <c r="J283" s="4" t="s">
        <v>3904</v>
      </c>
      <c r="K283" s="4" t="s">
        <v>23</v>
      </c>
      <c r="L283" s="4" t="s">
        <v>3905</v>
      </c>
      <c r="M283" s="4" t="s">
        <v>21</v>
      </c>
      <c r="N283" s="7" t="n">
        <v>3</v>
      </c>
      <c r="O283" s="4" t="s">
        <v>3906</v>
      </c>
      <c r="P283" s="10" t="n">
        <v>-1.354</v>
      </c>
    </row>
    <row r="284" customFormat="false" ht="15" hidden="false" customHeight="false" outlineLevel="0" collapsed="false">
      <c r="A284" s="4" t="s">
        <v>2253</v>
      </c>
      <c r="B284" s="7" t="n">
        <v>2024</v>
      </c>
      <c r="C284" s="4" t="s">
        <v>14</v>
      </c>
      <c r="D284" s="4" t="s">
        <v>3914</v>
      </c>
      <c r="E284" s="4" t="s">
        <v>23</v>
      </c>
      <c r="F284" s="4" t="s">
        <v>3908</v>
      </c>
      <c r="G284" s="4" t="s">
        <v>21</v>
      </c>
      <c r="H284" s="4" t="s">
        <v>3909</v>
      </c>
      <c r="I284" s="4" t="s">
        <v>21</v>
      </c>
      <c r="J284" s="4" t="s">
        <v>3904</v>
      </c>
      <c r="K284" s="4" t="s">
        <v>21</v>
      </c>
      <c r="L284" s="4" t="s">
        <v>3905</v>
      </c>
      <c r="M284" s="4" t="s">
        <v>21</v>
      </c>
      <c r="N284" s="7" t="n">
        <v>3</v>
      </c>
      <c r="O284" s="4" t="s">
        <v>3906</v>
      </c>
      <c r="P284" s="10" t="n">
        <v>0.0158</v>
      </c>
    </row>
    <row r="285" customFormat="false" ht="15" hidden="false" customHeight="false" outlineLevel="0" collapsed="false">
      <c r="A285" s="4" t="s">
        <v>2261</v>
      </c>
      <c r="B285" s="7" t="n">
        <v>2021</v>
      </c>
      <c r="C285" s="4" t="s">
        <v>15</v>
      </c>
      <c r="D285" s="4" t="s">
        <v>3907</v>
      </c>
      <c r="E285" s="4" t="s">
        <v>22</v>
      </c>
      <c r="F285" s="4" t="s">
        <v>3908</v>
      </c>
      <c r="G285" s="4" t="s">
        <v>23</v>
      </c>
      <c r="H285" s="4" t="s">
        <v>3909</v>
      </c>
      <c r="I285" s="4" t="s">
        <v>22</v>
      </c>
      <c r="J285" s="4" t="s">
        <v>3904</v>
      </c>
      <c r="K285" s="4" t="s">
        <v>22</v>
      </c>
      <c r="L285" s="4" t="s">
        <v>3905</v>
      </c>
      <c r="M285" s="4" t="s">
        <v>20</v>
      </c>
      <c r="N285" s="7" t="n">
        <v>3</v>
      </c>
      <c r="O285" s="4" t="s">
        <v>3906</v>
      </c>
      <c r="P285" s="10" t="n">
        <v>-1.1312</v>
      </c>
    </row>
    <row r="286" customFormat="false" ht="15" hidden="false" customHeight="false" outlineLevel="0" collapsed="false">
      <c r="A286" s="4" t="s">
        <v>2268</v>
      </c>
      <c r="B286" s="7" t="n">
        <v>2023</v>
      </c>
      <c r="C286" s="4" t="s">
        <v>15</v>
      </c>
      <c r="D286" s="4" t="s">
        <v>3907</v>
      </c>
      <c r="E286" s="4" t="s">
        <v>23</v>
      </c>
      <c r="F286" s="4" t="s">
        <v>3908</v>
      </c>
      <c r="G286" s="4" t="s">
        <v>20</v>
      </c>
      <c r="H286" s="4" t="s">
        <v>3909</v>
      </c>
      <c r="I286" s="4" t="s">
        <v>21</v>
      </c>
      <c r="J286" s="4" t="s">
        <v>3904</v>
      </c>
      <c r="K286" s="4" t="s">
        <v>21</v>
      </c>
      <c r="L286" s="4" t="s">
        <v>3905</v>
      </c>
      <c r="M286" s="4" t="s">
        <v>20</v>
      </c>
      <c r="N286" s="7" t="n">
        <v>3</v>
      </c>
      <c r="O286" s="4" t="s">
        <v>3906</v>
      </c>
      <c r="P286" s="10" t="n">
        <v>-1.4242</v>
      </c>
    </row>
    <row r="287" customFormat="false" ht="15" hidden="false" customHeight="false" outlineLevel="0" collapsed="false">
      <c r="A287" s="4" t="s">
        <v>2276</v>
      </c>
      <c r="B287" s="7" t="n">
        <v>2021</v>
      </c>
      <c r="C287" s="4" t="s">
        <v>17</v>
      </c>
      <c r="D287" s="4" t="s">
        <v>3901</v>
      </c>
      <c r="E287" s="4" t="s">
        <v>21</v>
      </c>
      <c r="F287" s="4" t="s">
        <v>3902</v>
      </c>
      <c r="G287" s="4" t="s">
        <v>21</v>
      </c>
      <c r="H287" s="4" t="s">
        <v>3903</v>
      </c>
      <c r="I287" s="4" t="s">
        <v>20</v>
      </c>
      <c r="J287" s="4" t="s">
        <v>3904</v>
      </c>
      <c r="K287" s="4" t="s">
        <v>23</v>
      </c>
      <c r="L287" s="4" t="s">
        <v>3905</v>
      </c>
      <c r="M287" s="4" t="s">
        <v>23</v>
      </c>
      <c r="N287" s="7" t="n">
        <v>3</v>
      </c>
      <c r="O287" s="4" t="s">
        <v>3906</v>
      </c>
      <c r="P287" s="10" t="n">
        <v>0.2407</v>
      </c>
    </row>
    <row r="288" customFormat="false" ht="15" hidden="false" customHeight="false" outlineLevel="0" collapsed="false">
      <c r="A288" s="4" t="s">
        <v>2284</v>
      </c>
      <c r="B288" s="7" t="n">
        <v>2021</v>
      </c>
      <c r="C288" s="4" t="s">
        <v>17</v>
      </c>
      <c r="D288" s="4" t="s">
        <v>3901</v>
      </c>
      <c r="E288" s="4" t="s">
        <v>20</v>
      </c>
      <c r="F288" s="4" t="s">
        <v>3902</v>
      </c>
      <c r="G288" s="4" t="s">
        <v>20</v>
      </c>
      <c r="H288" s="4" t="s">
        <v>3903</v>
      </c>
      <c r="I288" s="4" t="s">
        <v>22</v>
      </c>
      <c r="J288" s="4" t="s">
        <v>3904</v>
      </c>
      <c r="K288" s="4" t="s">
        <v>21</v>
      </c>
      <c r="L288" s="4" t="s">
        <v>3905</v>
      </c>
      <c r="M288" s="4" t="s">
        <v>20</v>
      </c>
      <c r="N288" s="7" t="n">
        <v>3</v>
      </c>
      <c r="O288" s="4" t="s">
        <v>3906</v>
      </c>
      <c r="P288" s="10" t="n">
        <v>-1.2134</v>
      </c>
    </row>
    <row r="289" customFormat="false" ht="15" hidden="false" customHeight="false" outlineLevel="0" collapsed="false">
      <c r="A289" s="4" t="s">
        <v>2292</v>
      </c>
      <c r="B289" s="7" t="n">
        <v>2021</v>
      </c>
      <c r="C289" s="4" t="s">
        <v>14</v>
      </c>
      <c r="D289" s="4" t="s">
        <v>3914</v>
      </c>
      <c r="E289" s="4" t="s">
        <v>20</v>
      </c>
      <c r="F289" s="4" t="s">
        <v>3908</v>
      </c>
      <c r="G289" s="4" t="s">
        <v>22</v>
      </c>
      <c r="H289" s="4" t="s">
        <v>3909</v>
      </c>
      <c r="I289" s="4" t="s">
        <v>24</v>
      </c>
      <c r="J289" s="4" t="s">
        <v>3904</v>
      </c>
      <c r="K289" s="4" t="s">
        <v>22</v>
      </c>
      <c r="L289" s="4" t="s">
        <v>3905</v>
      </c>
      <c r="M289" s="4" t="s">
        <v>22</v>
      </c>
      <c r="N289" s="7" t="n">
        <v>2</v>
      </c>
      <c r="O289" s="4" t="s">
        <v>3910</v>
      </c>
      <c r="P289" s="11"/>
    </row>
    <row r="290" customFormat="false" ht="15" hidden="false" customHeight="false" outlineLevel="0" collapsed="false">
      <c r="A290" s="4" t="s">
        <v>2300</v>
      </c>
      <c r="B290" s="7" t="n">
        <v>2025</v>
      </c>
      <c r="C290" s="4" t="s">
        <v>15</v>
      </c>
      <c r="D290" s="4" t="s">
        <v>3907</v>
      </c>
      <c r="E290" s="4" t="s">
        <v>22</v>
      </c>
      <c r="F290" s="4" t="s">
        <v>3908</v>
      </c>
      <c r="G290" s="4" t="s">
        <v>20</v>
      </c>
      <c r="H290" s="4" t="s">
        <v>3909</v>
      </c>
      <c r="I290" s="4" t="s">
        <v>21</v>
      </c>
      <c r="J290" s="4" t="s">
        <v>3904</v>
      </c>
      <c r="K290" s="4" t="s">
        <v>23</v>
      </c>
      <c r="L290" s="4" t="s">
        <v>3905</v>
      </c>
      <c r="M290" s="4" t="s">
        <v>22</v>
      </c>
      <c r="N290" s="7" t="n">
        <v>3</v>
      </c>
      <c r="O290" s="4" t="s">
        <v>3906</v>
      </c>
      <c r="P290" s="10" t="n">
        <v>1.3203</v>
      </c>
    </row>
    <row r="291" customFormat="false" ht="15" hidden="false" customHeight="false" outlineLevel="0" collapsed="false">
      <c r="A291" s="4" t="s">
        <v>2308</v>
      </c>
      <c r="B291" s="7" t="n">
        <v>2024</v>
      </c>
      <c r="C291" s="4" t="s">
        <v>17</v>
      </c>
      <c r="D291" s="4" t="s">
        <v>3901</v>
      </c>
      <c r="E291" s="4" t="s">
        <v>20</v>
      </c>
      <c r="F291" s="4" t="s">
        <v>3902</v>
      </c>
      <c r="G291" s="4" t="s">
        <v>21</v>
      </c>
      <c r="H291" s="4" t="s">
        <v>3903</v>
      </c>
      <c r="I291" s="4" t="s">
        <v>21</v>
      </c>
      <c r="J291" s="4" t="s">
        <v>3904</v>
      </c>
      <c r="K291" s="4" t="s">
        <v>24</v>
      </c>
      <c r="L291" s="4" t="s">
        <v>3905</v>
      </c>
      <c r="M291" s="4" t="s">
        <v>22</v>
      </c>
      <c r="N291" s="7" t="n">
        <v>3</v>
      </c>
      <c r="O291" s="4" t="s">
        <v>3906</v>
      </c>
      <c r="P291" s="10" t="n">
        <v>-0.6346</v>
      </c>
    </row>
    <row r="292" customFormat="false" ht="15" hidden="false" customHeight="false" outlineLevel="0" collapsed="false">
      <c r="A292" s="4" t="s">
        <v>2316</v>
      </c>
      <c r="B292" s="7" t="n">
        <v>2023</v>
      </c>
      <c r="C292" s="4" t="s">
        <v>16</v>
      </c>
      <c r="D292" s="4" t="s">
        <v>3911</v>
      </c>
      <c r="E292" s="4" t="s">
        <v>21</v>
      </c>
      <c r="F292" s="4" t="s">
        <v>3912</v>
      </c>
      <c r="G292" s="4" t="s">
        <v>23</v>
      </c>
      <c r="H292" s="4" t="s">
        <v>3913</v>
      </c>
      <c r="I292" s="4" t="s">
        <v>22</v>
      </c>
      <c r="J292" s="4" t="s">
        <v>3904</v>
      </c>
      <c r="K292" s="4" t="s">
        <v>24</v>
      </c>
      <c r="L292" s="4" t="s">
        <v>3905</v>
      </c>
      <c r="M292" s="4" t="s">
        <v>24</v>
      </c>
      <c r="N292" s="7" t="n">
        <v>3</v>
      </c>
      <c r="O292" s="4" t="s">
        <v>3906</v>
      </c>
      <c r="P292" s="10" t="n">
        <v>1.4701</v>
      </c>
    </row>
    <row r="293" customFormat="false" ht="15" hidden="false" customHeight="false" outlineLevel="0" collapsed="false">
      <c r="A293" s="4" t="s">
        <v>2324</v>
      </c>
      <c r="B293" s="7" t="n">
        <v>2024</v>
      </c>
      <c r="C293" s="4" t="s">
        <v>17</v>
      </c>
      <c r="D293" s="4" t="s">
        <v>3901</v>
      </c>
      <c r="E293" s="4" t="s">
        <v>21</v>
      </c>
      <c r="F293" s="4" t="s">
        <v>3902</v>
      </c>
      <c r="G293" s="4" t="s">
        <v>20</v>
      </c>
      <c r="H293" s="4" t="s">
        <v>3903</v>
      </c>
      <c r="I293" s="4" t="s">
        <v>23</v>
      </c>
      <c r="J293" s="4" t="s">
        <v>3904</v>
      </c>
      <c r="K293" s="4" t="s">
        <v>22</v>
      </c>
      <c r="L293" s="4" t="s">
        <v>3905</v>
      </c>
      <c r="M293" s="4" t="s">
        <v>22</v>
      </c>
      <c r="N293" s="7" t="n">
        <v>3</v>
      </c>
      <c r="O293" s="4" t="s">
        <v>3906</v>
      </c>
      <c r="P293" s="10" t="n">
        <v>-0.5567</v>
      </c>
    </row>
    <row r="294" customFormat="false" ht="15" hidden="false" customHeight="false" outlineLevel="0" collapsed="false">
      <c r="A294" s="4" t="s">
        <v>2332</v>
      </c>
      <c r="B294" s="7" t="n">
        <v>2024</v>
      </c>
      <c r="C294" s="4" t="s">
        <v>14</v>
      </c>
      <c r="D294" s="4" t="s">
        <v>3914</v>
      </c>
      <c r="E294" s="4" t="s">
        <v>22</v>
      </c>
      <c r="F294" s="4" t="s">
        <v>3908</v>
      </c>
      <c r="G294" s="4" t="s">
        <v>22</v>
      </c>
      <c r="H294" s="4" t="s">
        <v>3909</v>
      </c>
      <c r="I294" s="4" t="s">
        <v>22</v>
      </c>
      <c r="J294" s="4" t="s">
        <v>3904</v>
      </c>
      <c r="K294" s="4" t="s">
        <v>21</v>
      </c>
      <c r="L294" s="4" t="s">
        <v>3905</v>
      </c>
      <c r="M294" s="4" t="s">
        <v>21</v>
      </c>
      <c r="N294" s="7" t="n">
        <v>3</v>
      </c>
      <c r="O294" s="4" t="s">
        <v>3906</v>
      </c>
      <c r="P294" s="10" t="n">
        <v>1.6771</v>
      </c>
    </row>
    <row r="295" customFormat="false" ht="15" hidden="false" customHeight="false" outlineLevel="0" collapsed="false">
      <c r="A295" s="4" t="s">
        <v>2339</v>
      </c>
      <c r="B295" s="7" t="n">
        <v>2021</v>
      </c>
      <c r="C295" s="4" t="s">
        <v>16</v>
      </c>
      <c r="D295" s="4" t="s">
        <v>3911</v>
      </c>
      <c r="E295" s="4" t="s">
        <v>21</v>
      </c>
      <c r="F295" s="4" t="s">
        <v>3912</v>
      </c>
      <c r="G295" s="4" t="s">
        <v>22</v>
      </c>
      <c r="H295" s="4" t="s">
        <v>3913</v>
      </c>
      <c r="I295" s="4" t="s">
        <v>22</v>
      </c>
      <c r="J295" s="4" t="s">
        <v>3904</v>
      </c>
      <c r="K295" s="4" t="s">
        <v>20</v>
      </c>
      <c r="L295" s="4" t="s">
        <v>3905</v>
      </c>
      <c r="M295" s="4" t="s">
        <v>23</v>
      </c>
      <c r="N295" s="7" t="n">
        <v>3</v>
      </c>
      <c r="O295" s="4" t="s">
        <v>3906</v>
      </c>
      <c r="P295" s="10" t="n">
        <v>-0.643</v>
      </c>
    </row>
    <row r="296" customFormat="false" ht="15" hidden="false" customHeight="false" outlineLevel="0" collapsed="false">
      <c r="A296" s="4" t="s">
        <v>2346</v>
      </c>
      <c r="B296" s="7" t="n">
        <v>2023</v>
      </c>
      <c r="C296" s="4" t="s">
        <v>16</v>
      </c>
      <c r="D296" s="4" t="s">
        <v>3911</v>
      </c>
      <c r="E296" s="4" t="s">
        <v>21</v>
      </c>
      <c r="F296" s="4" t="s">
        <v>3912</v>
      </c>
      <c r="G296" s="4" t="s">
        <v>20</v>
      </c>
      <c r="H296" s="4" t="s">
        <v>3913</v>
      </c>
      <c r="I296" s="4" t="s">
        <v>20</v>
      </c>
      <c r="J296" s="4" t="s">
        <v>3904</v>
      </c>
      <c r="K296" s="4" t="s">
        <v>22</v>
      </c>
      <c r="L296" s="4" t="s">
        <v>3905</v>
      </c>
      <c r="M296" s="4" t="s">
        <v>22</v>
      </c>
      <c r="N296" s="7" t="n">
        <v>3</v>
      </c>
      <c r="O296" s="4" t="s">
        <v>3906</v>
      </c>
      <c r="P296" s="10" t="n">
        <v>-0.4905</v>
      </c>
    </row>
    <row r="297" customFormat="false" ht="15" hidden="false" customHeight="false" outlineLevel="0" collapsed="false">
      <c r="A297" s="4" t="s">
        <v>2354</v>
      </c>
      <c r="B297" s="7" t="n">
        <v>2024</v>
      </c>
      <c r="C297" s="4" t="s">
        <v>15</v>
      </c>
      <c r="D297" s="4" t="s">
        <v>3907</v>
      </c>
      <c r="E297" s="4" t="s">
        <v>21</v>
      </c>
      <c r="F297" s="4" t="s">
        <v>3908</v>
      </c>
      <c r="G297" s="4" t="s">
        <v>24</v>
      </c>
      <c r="H297" s="4" t="s">
        <v>3909</v>
      </c>
      <c r="I297" s="4" t="s">
        <v>21</v>
      </c>
      <c r="J297" s="4" t="s">
        <v>3904</v>
      </c>
      <c r="K297" s="4" t="s">
        <v>21</v>
      </c>
      <c r="L297" s="4" t="s">
        <v>3905</v>
      </c>
      <c r="M297" s="4" t="s">
        <v>24</v>
      </c>
      <c r="N297" s="7" t="n">
        <v>2</v>
      </c>
      <c r="O297" s="4" t="s">
        <v>3910</v>
      </c>
      <c r="P297" s="11"/>
    </row>
    <row r="298" customFormat="false" ht="15" hidden="false" customHeight="false" outlineLevel="0" collapsed="false">
      <c r="A298" s="4" t="s">
        <v>2362</v>
      </c>
      <c r="B298" s="7" t="n">
        <v>2021</v>
      </c>
      <c r="C298" s="4" t="s">
        <v>17</v>
      </c>
      <c r="D298" s="4" t="s">
        <v>3901</v>
      </c>
      <c r="E298" s="4" t="s">
        <v>23</v>
      </c>
      <c r="F298" s="4" t="s">
        <v>3902</v>
      </c>
      <c r="G298" s="4" t="s">
        <v>24</v>
      </c>
      <c r="H298" s="4" t="s">
        <v>3903</v>
      </c>
      <c r="I298" s="4" t="s">
        <v>20</v>
      </c>
      <c r="J298" s="4" t="s">
        <v>3904</v>
      </c>
      <c r="K298" s="4" t="s">
        <v>20</v>
      </c>
      <c r="L298" s="4" t="s">
        <v>3905</v>
      </c>
      <c r="M298" s="4" t="s">
        <v>23</v>
      </c>
      <c r="N298" s="7" t="n">
        <v>2</v>
      </c>
      <c r="O298" s="4" t="s">
        <v>3910</v>
      </c>
      <c r="P298" s="11"/>
    </row>
    <row r="299" customFormat="false" ht="15" hidden="false" customHeight="false" outlineLevel="0" collapsed="false">
      <c r="A299" s="4" t="s">
        <v>2370</v>
      </c>
      <c r="B299" s="7" t="n">
        <v>2021</v>
      </c>
      <c r="C299" s="4" t="s">
        <v>14</v>
      </c>
      <c r="D299" s="4" t="s">
        <v>3914</v>
      </c>
      <c r="E299" s="4" t="s">
        <v>23</v>
      </c>
      <c r="F299" s="4" t="s">
        <v>3908</v>
      </c>
      <c r="G299" s="4" t="s">
        <v>22</v>
      </c>
      <c r="H299" s="4" t="s">
        <v>3909</v>
      </c>
      <c r="I299" s="4" t="s">
        <v>23</v>
      </c>
      <c r="J299" s="4" t="s">
        <v>3904</v>
      </c>
      <c r="K299" s="4" t="s">
        <v>21</v>
      </c>
      <c r="L299" s="4" t="s">
        <v>3905</v>
      </c>
      <c r="M299" s="4" t="s">
        <v>20</v>
      </c>
      <c r="N299" s="7" t="n">
        <v>3</v>
      </c>
      <c r="O299" s="4" t="s">
        <v>3906</v>
      </c>
      <c r="P299" s="10" t="n">
        <v>-0.1043</v>
      </c>
    </row>
    <row r="300" customFormat="false" ht="15" hidden="false" customHeight="false" outlineLevel="0" collapsed="false">
      <c r="A300" s="4" t="s">
        <v>2378</v>
      </c>
      <c r="B300" s="7" t="n">
        <v>2023</v>
      </c>
      <c r="C300" s="4" t="s">
        <v>16</v>
      </c>
      <c r="D300" s="4" t="s">
        <v>3911</v>
      </c>
      <c r="E300" s="4" t="s">
        <v>24</v>
      </c>
      <c r="F300" s="4" t="s">
        <v>3912</v>
      </c>
      <c r="G300" s="4" t="s">
        <v>23</v>
      </c>
      <c r="H300" s="4" t="s">
        <v>3913</v>
      </c>
      <c r="I300" s="4" t="s">
        <v>23</v>
      </c>
      <c r="J300" s="4" t="s">
        <v>3904</v>
      </c>
      <c r="K300" s="4" t="s">
        <v>21</v>
      </c>
      <c r="L300" s="4" t="s">
        <v>3905</v>
      </c>
      <c r="M300" s="4" t="s">
        <v>23</v>
      </c>
      <c r="N300" s="7" t="n">
        <v>2</v>
      </c>
      <c r="O300" s="4" t="s">
        <v>3910</v>
      </c>
      <c r="P300" s="11"/>
    </row>
    <row r="301" customFormat="false" ht="15" hidden="false" customHeight="false" outlineLevel="0" collapsed="false">
      <c r="A301" s="4" t="s">
        <v>2385</v>
      </c>
      <c r="B301" s="7" t="n">
        <v>2022</v>
      </c>
      <c r="C301" s="4" t="s">
        <v>16</v>
      </c>
      <c r="D301" s="4" t="s">
        <v>3911</v>
      </c>
      <c r="E301" s="4" t="s">
        <v>21</v>
      </c>
      <c r="F301" s="4" t="s">
        <v>3912</v>
      </c>
      <c r="G301" s="4" t="s">
        <v>23</v>
      </c>
      <c r="H301" s="4" t="s">
        <v>3913</v>
      </c>
      <c r="I301" s="4" t="s">
        <v>22</v>
      </c>
      <c r="J301" s="4" t="s">
        <v>3904</v>
      </c>
      <c r="K301" s="4" t="s">
        <v>20</v>
      </c>
      <c r="L301" s="4" t="s">
        <v>3905</v>
      </c>
      <c r="M301" s="4" t="s">
        <v>22</v>
      </c>
      <c r="N301" s="7" t="n">
        <v>3</v>
      </c>
      <c r="O301" s="4" t="s">
        <v>3906</v>
      </c>
      <c r="P301" s="10" t="n">
        <v>-1.048</v>
      </c>
    </row>
    <row r="302" customFormat="false" ht="15" hidden="false" customHeight="false" outlineLevel="0" collapsed="false">
      <c r="A302" s="4" t="s">
        <v>2393</v>
      </c>
      <c r="B302" s="7" t="n">
        <v>2024</v>
      </c>
      <c r="C302" s="4" t="s">
        <v>16</v>
      </c>
      <c r="D302" s="4" t="s">
        <v>3911</v>
      </c>
      <c r="E302" s="4" t="s">
        <v>22</v>
      </c>
      <c r="F302" s="4" t="s">
        <v>3912</v>
      </c>
      <c r="G302" s="4" t="s">
        <v>22</v>
      </c>
      <c r="H302" s="4" t="s">
        <v>3913</v>
      </c>
      <c r="I302" s="4" t="s">
        <v>22</v>
      </c>
      <c r="J302" s="4" t="s">
        <v>3904</v>
      </c>
      <c r="K302" s="4" t="s">
        <v>22</v>
      </c>
      <c r="L302" s="4" t="s">
        <v>3905</v>
      </c>
      <c r="M302" s="4" t="s">
        <v>20</v>
      </c>
      <c r="N302" s="7" t="n">
        <v>3</v>
      </c>
      <c r="O302" s="4" t="s">
        <v>3906</v>
      </c>
      <c r="P302" s="10" t="n">
        <v>1.0985</v>
      </c>
    </row>
    <row r="303" customFormat="false" ht="15" hidden="false" customHeight="false" outlineLevel="0" collapsed="false">
      <c r="A303" s="4" t="s">
        <v>2401</v>
      </c>
      <c r="B303" s="7" t="n">
        <v>2021</v>
      </c>
      <c r="C303" s="4" t="s">
        <v>16</v>
      </c>
      <c r="D303" s="4" t="s">
        <v>3911</v>
      </c>
      <c r="E303" s="4" t="s">
        <v>20</v>
      </c>
      <c r="F303" s="4" t="s">
        <v>3912</v>
      </c>
      <c r="G303" s="4" t="s">
        <v>24</v>
      </c>
      <c r="H303" s="4" t="s">
        <v>3913</v>
      </c>
      <c r="I303" s="4" t="s">
        <v>22</v>
      </c>
      <c r="J303" s="4" t="s">
        <v>3904</v>
      </c>
      <c r="K303" s="4" t="s">
        <v>20</v>
      </c>
      <c r="L303" s="4" t="s">
        <v>3905</v>
      </c>
      <c r="M303" s="4" t="s">
        <v>22</v>
      </c>
      <c r="N303" s="7" t="n">
        <v>2</v>
      </c>
      <c r="O303" s="4" t="s">
        <v>3910</v>
      </c>
      <c r="P303" s="11"/>
    </row>
    <row r="304" customFormat="false" ht="15" hidden="false" customHeight="false" outlineLevel="0" collapsed="false">
      <c r="A304" s="4" t="s">
        <v>2409</v>
      </c>
      <c r="B304" s="7" t="n">
        <v>2023</v>
      </c>
      <c r="C304" s="4" t="s">
        <v>18</v>
      </c>
      <c r="D304" s="4" t="s">
        <v>3915</v>
      </c>
      <c r="E304" s="4" t="s">
        <v>21</v>
      </c>
      <c r="F304" s="4" t="s">
        <v>3916</v>
      </c>
      <c r="G304" s="4" t="s">
        <v>23</v>
      </c>
      <c r="H304" s="4" t="s">
        <v>3917</v>
      </c>
      <c r="I304" s="4" t="s">
        <v>21</v>
      </c>
      <c r="J304" s="4" t="s">
        <v>3904</v>
      </c>
      <c r="K304" s="4" t="s">
        <v>21</v>
      </c>
      <c r="L304" s="4" t="s">
        <v>3905</v>
      </c>
      <c r="M304" s="4" t="s">
        <v>22</v>
      </c>
      <c r="N304" s="7" t="n">
        <v>3</v>
      </c>
      <c r="O304" s="4" t="s">
        <v>3906</v>
      </c>
      <c r="P304" s="10" t="n">
        <v>-1.4538</v>
      </c>
    </row>
    <row r="305" customFormat="false" ht="15" hidden="false" customHeight="false" outlineLevel="0" collapsed="false">
      <c r="A305" s="4" t="s">
        <v>2416</v>
      </c>
      <c r="B305" s="7" t="n">
        <v>2025</v>
      </c>
      <c r="C305" s="4" t="s">
        <v>14</v>
      </c>
      <c r="D305" s="4" t="s">
        <v>3914</v>
      </c>
      <c r="E305" s="4" t="s">
        <v>21</v>
      </c>
      <c r="F305" s="4" t="s">
        <v>3908</v>
      </c>
      <c r="G305" s="4" t="s">
        <v>22</v>
      </c>
      <c r="H305" s="4" t="s">
        <v>3909</v>
      </c>
      <c r="I305" s="4" t="s">
        <v>22</v>
      </c>
      <c r="J305" s="4" t="s">
        <v>3904</v>
      </c>
      <c r="K305" s="4" t="s">
        <v>20</v>
      </c>
      <c r="L305" s="4" t="s">
        <v>3905</v>
      </c>
      <c r="M305" s="4" t="s">
        <v>22</v>
      </c>
      <c r="N305" s="7" t="n">
        <v>3</v>
      </c>
      <c r="O305" s="4" t="s">
        <v>3906</v>
      </c>
      <c r="P305" s="10" t="n">
        <v>0.0858</v>
      </c>
    </row>
    <row r="306" customFormat="false" ht="15" hidden="false" customHeight="false" outlineLevel="0" collapsed="false">
      <c r="A306" s="4" t="s">
        <v>2424</v>
      </c>
      <c r="B306" s="7" t="n">
        <v>2025</v>
      </c>
      <c r="C306" s="4" t="s">
        <v>15</v>
      </c>
      <c r="D306" s="4" t="s">
        <v>3907</v>
      </c>
      <c r="E306" s="4" t="s">
        <v>21</v>
      </c>
      <c r="F306" s="4" t="s">
        <v>3908</v>
      </c>
      <c r="G306" s="4" t="s">
        <v>22</v>
      </c>
      <c r="H306" s="4" t="s">
        <v>3909</v>
      </c>
      <c r="I306" s="4" t="s">
        <v>22</v>
      </c>
      <c r="J306" s="4" t="s">
        <v>3904</v>
      </c>
      <c r="K306" s="4" t="s">
        <v>21</v>
      </c>
      <c r="L306" s="4" t="s">
        <v>3905</v>
      </c>
      <c r="M306" s="4" t="s">
        <v>22</v>
      </c>
      <c r="N306" s="7" t="n">
        <v>3</v>
      </c>
      <c r="O306" s="4" t="s">
        <v>3906</v>
      </c>
      <c r="P306" s="10" t="n">
        <v>1.4902</v>
      </c>
    </row>
    <row r="307" customFormat="false" ht="15" hidden="false" customHeight="false" outlineLevel="0" collapsed="false">
      <c r="A307" s="4" t="s">
        <v>2431</v>
      </c>
      <c r="B307" s="7" t="n">
        <v>2022</v>
      </c>
      <c r="C307" s="4" t="s">
        <v>17</v>
      </c>
      <c r="D307" s="4" t="s">
        <v>3901</v>
      </c>
      <c r="E307" s="4" t="s">
        <v>24</v>
      </c>
      <c r="F307" s="4" t="s">
        <v>3902</v>
      </c>
      <c r="G307" s="4" t="s">
        <v>22</v>
      </c>
      <c r="H307" s="4" t="s">
        <v>3903</v>
      </c>
      <c r="I307" s="4" t="s">
        <v>24</v>
      </c>
      <c r="J307" s="4" t="s">
        <v>3904</v>
      </c>
      <c r="K307" s="4" t="s">
        <v>22</v>
      </c>
      <c r="L307" s="4" t="s">
        <v>3905</v>
      </c>
      <c r="M307" s="4" t="s">
        <v>21</v>
      </c>
      <c r="N307" s="7" t="n">
        <v>1</v>
      </c>
      <c r="O307" s="4" t="s">
        <v>3910</v>
      </c>
      <c r="P307" s="11"/>
    </row>
    <row r="308" customFormat="false" ht="15" hidden="false" customHeight="false" outlineLevel="0" collapsed="false">
      <c r="A308" s="4" t="s">
        <v>2438</v>
      </c>
      <c r="B308" s="7" t="n">
        <v>2021</v>
      </c>
      <c r="C308" s="4" t="s">
        <v>17</v>
      </c>
      <c r="D308" s="4" t="s">
        <v>3901</v>
      </c>
      <c r="E308" s="4" t="s">
        <v>22</v>
      </c>
      <c r="F308" s="4" t="s">
        <v>3902</v>
      </c>
      <c r="G308" s="4" t="s">
        <v>21</v>
      </c>
      <c r="H308" s="4" t="s">
        <v>3903</v>
      </c>
      <c r="I308" s="4" t="s">
        <v>21</v>
      </c>
      <c r="J308" s="4" t="s">
        <v>3904</v>
      </c>
      <c r="K308" s="4" t="s">
        <v>23</v>
      </c>
      <c r="L308" s="4" t="s">
        <v>3905</v>
      </c>
      <c r="M308" s="4" t="s">
        <v>23</v>
      </c>
      <c r="N308" s="7" t="n">
        <v>3</v>
      </c>
      <c r="O308" s="4" t="s">
        <v>3906</v>
      </c>
      <c r="P308" s="10" t="n">
        <v>-0.7281</v>
      </c>
    </row>
    <row r="309" customFormat="false" ht="15" hidden="false" customHeight="false" outlineLevel="0" collapsed="false">
      <c r="A309" s="4" t="s">
        <v>2445</v>
      </c>
      <c r="B309" s="7" t="n">
        <v>2021</v>
      </c>
      <c r="C309" s="4" t="s">
        <v>16</v>
      </c>
      <c r="D309" s="4" t="s">
        <v>3911</v>
      </c>
      <c r="E309" s="4" t="s">
        <v>20</v>
      </c>
      <c r="F309" s="4" t="s">
        <v>3912</v>
      </c>
      <c r="G309" s="4" t="s">
        <v>22</v>
      </c>
      <c r="H309" s="4" t="s">
        <v>3913</v>
      </c>
      <c r="I309" s="4" t="s">
        <v>21</v>
      </c>
      <c r="J309" s="4" t="s">
        <v>3904</v>
      </c>
      <c r="K309" s="4" t="s">
        <v>21</v>
      </c>
      <c r="L309" s="4" t="s">
        <v>3905</v>
      </c>
      <c r="M309" s="4" t="s">
        <v>21</v>
      </c>
      <c r="N309" s="7" t="n">
        <v>3</v>
      </c>
      <c r="O309" s="4" t="s">
        <v>3906</v>
      </c>
      <c r="P309" s="10" t="n">
        <v>-0.9508</v>
      </c>
    </row>
    <row r="310" customFormat="false" ht="15" hidden="false" customHeight="false" outlineLevel="0" collapsed="false">
      <c r="A310" s="4" t="s">
        <v>2453</v>
      </c>
      <c r="B310" s="7" t="n">
        <v>2025</v>
      </c>
      <c r="C310" s="4" t="s">
        <v>16</v>
      </c>
      <c r="D310" s="4" t="s">
        <v>3911</v>
      </c>
      <c r="E310" s="4" t="s">
        <v>22</v>
      </c>
      <c r="F310" s="4" t="s">
        <v>3912</v>
      </c>
      <c r="G310" s="4" t="s">
        <v>22</v>
      </c>
      <c r="H310" s="4" t="s">
        <v>3913</v>
      </c>
      <c r="I310" s="4" t="s">
        <v>23</v>
      </c>
      <c r="J310" s="4" t="s">
        <v>3904</v>
      </c>
      <c r="K310" s="4" t="s">
        <v>23</v>
      </c>
      <c r="L310" s="4" t="s">
        <v>3905</v>
      </c>
      <c r="M310" s="4" t="s">
        <v>24</v>
      </c>
      <c r="N310" s="7" t="n">
        <v>3</v>
      </c>
      <c r="O310" s="4" t="s">
        <v>3906</v>
      </c>
      <c r="P310" s="10" t="n">
        <v>-0.1146</v>
      </c>
    </row>
    <row r="311" customFormat="false" ht="15" hidden="false" customHeight="false" outlineLevel="0" collapsed="false">
      <c r="A311" s="4" t="s">
        <v>2461</v>
      </c>
      <c r="B311" s="7" t="n">
        <v>2023</v>
      </c>
      <c r="C311" s="4" t="s">
        <v>17</v>
      </c>
      <c r="D311" s="4" t="s">
        <v>3901</v>
      </c>
      <c r="E311" s="4" t="s">
        <v>22</v>
      </c>
      <c r="F311" s="4" t="s">
        <v>3902</v>
      </c>
      <c r="G311" s="4" t="s">
        <v>20</v>
      </c>
      <c r="H311" s="4" t="s">
        <v>3903</v>
      </c>
      <c r="I311" s="4" t="s">
        <v>20</v>
      </c>
      <c r="J311" s="4" t="s">
        <v>3904</v>
      </c>
      <c r="K311" s="4" t="s">
        <v>20</v>
      </c>
      <c r="L311" s="4" t="s">
        <v>3905</v>
      </c>
      <c r="M311" s="4" t="s">
        <v>20</v>
      </c>
      <c r="N311" s="7" t="n">
        <v>3</v>
      </c>
      <c r="O311" s="4" t="s">
        <v>3906</v>
      </c>
      <c r="P311" s="10" t="n">
        <v>-0.9973</v>
      </c>
    </row>
    <row r="312" customFormat="false" ht="15" hidden="false" customHeight="false" outlineLevel="0" collapsed="false">
      <c r="A312" s="4" t="s">
        <v>2468</v>
      </c>
      <c r="B312" s="7" t="n">
        <v>2025</v>
      </c>
      <c r="C312" s="4" t="s">
        <v>16</v>
      </c>
      <c r="D312" s="4" t="s">
        <v>3911</v>
      </c>
      <c r="E312" s="4" t="s">
        <v>21</v>
      </c>
      <c r="F312" s="4" t="s">
        <v>3912</v>
      </c>
      <c r="G312" s="4" t="s">
        <v>20</v>
      </c>
      <c r="H312" s="4" t="s">
        <v>3913</v>
      </c>
      <c r="I312" s="4" t="s">
        <v>22</v>
      </c>
      <c r="J312" s="4" t="s">
        <v>3904</v>
      </c>
      <c r="K312" s="4" t="s">
        <v>23</v>
      </c>
      <c r="L312" s="4" t="s">
        <v>3905</v>
      </c>
      <c r="M312" s="4" t="s">
        <v>21</v>
      </c>
      <c r="N312" s="7" t="n">
        <v>3</v>
      </c>
      <c r="O312" s="4" t="s">
        <v>3906</v>
      </c>
      <c r="P312" s="10" t="n">
        <v>1.4453</v>
      </c>
    </row>
    <row r="313" customFormat="false" ht="15" hidden="false" customHeight="false" outlineLevel="0" collapsed="false">
      <c r="A313" s="4" t="s">
        <v>2476</v>
      </c>
      <c r="B313" s="7" t="n">
        <v>2024</v>
      </c>
      <c r="C313" s="4" t="s">
        <v>14</v>
      </c>
      <c r="D313" s="4" t="s">
        <v>3914</v>
      </c>
      <c r="E313" s="4" t="s">
        <v>21</v>
      </c>
      <c r="F313" s="4" t="s">
        <v>3908</v>
      </c>
      <c r="G313" s="4" t="s">
        <v>21</v>
      </c>
      <c r="H313" s="4" t="s">
        <v>3909</v>
      </c>
      <c r="I313" s="4" t="s">
        <v>24</v>
      </c>
      <c r="J313" s="4" t="s">
        <v>3904</v>
      </c>
      <c r="K313" s="4" t="s">
        <v>20</v>
      </c>
      <c r="L313" s="4" t="s">
        <v>3905</v>
      </c>
      <c r="M313" s="4" t="s">
        <v>24</v>
      </c>
      <c r="N313" s="7" t="n">
        <v>2</v>
      </c>
      <c r="O313" s="4" t="s">
        <v>3910</v>
      </c>
      <c r="P313" s="11"/>
    </row>
    <row r="314" customFormat="false" ht="15" hidden="false" customHeight="false" outlineLevel="0" collapsed="false">
      <c r="A314" s="4" t="s">
        <v>2483</v>
      </c>
      <c r="B314" s="7" t="n">
        <v>2023</v>
      </c>
      <c r="C314" s="4" t="s">
        <v>16</v>
      </c>
      <c r="D314" s="4" t="s">
        <v>3911</v>
      </c>
      <c r="E314" s="4" t="s">
        <v>21</v>
      </c>
      <c r="F314" s="4" t="s">
        <v>3912</v>
      </c>
      <c r="G314" s="4" t="s">
        <v>21</v>
      </c>
      <c r="H314" s="4" t="s">
        <v>3913</v>
      </c>
      <c r="I314" s="4" t="s">
        <v>20</v>
      </c>
      <c r="J314" s="4" t="s">
        <v>3904</v>
      </c>
      <c r="K314" s="4" t="s">
        <v>20</v>
      </c>
      <c r="L314" s="4" t="s">
        <v>3905</v>
      </c>
      <c r="M314" s="4" t="s">
        <v>20</v>
      </c>
      <c r="N314" s="7" t="n">
        <v>3</v>
      </c>
      <c r="O314" s="4" t="s">
        <v>3906</v>
      </c>
      <c r="P314" s="10" t="n">
        <v>0.0898</v>
      </c>
    </row>
    <row r="315" customFormat="false" ht="15" hidden="false" customHeight="false" outlineLevel="0" collapsed="false">
      <c r="A315" s="4" t="s">
        <v>2491</v>
      </c>
      <c r="B315" s="7" t="n">
        <v>2021</v>
      </c>
      <c r="C315" s="4" t="s">
        <v>17</v>
      </c>
      <c r="D315" s="4" t="s">
        <v>3901</v>
      </c>
      <c r="E315" s="4" t="s">
        <v>22</v>
      </c>
      <c r="F315" s="4" t="s">
        <v>3902</v>
      </c>
      <c r="G315" s="4" t="s">
        <v>23</v>
      </c>
      <c r="H315" s="4" t="s">
        <v>3903</v>
      </c>
      <c r="I315" s="4" t="s">
        <v>21</v>
      </c>
      <c r="J315" s="4" t="s">
        <v>3904</v>
      </c>
      <c r="K315" s="4" t="s">
        <v>24</v>
      </c>
      <c r="L315" s="4" t="s">
        <v>3905</v>
      </c>
      <c r="M315" s="4" t="s">
        <v>21</v>
      </c>
      <c r="N315" s="7" t="n">
        <v>3</v>
      </c>
      <c r="O315" s="4" t="s">
        <v>3906</v>
      </c>
      <c r="P315" s="10" t="n">
        <v>1.7799</v>
      </c>
    </row>
    <row r="316" customFormat="false" ht="15" hidden="false" customHeight="false" outlineLevel="0" collapsed="false">
      <c r="A316" s="4" t="s">
        <v>2499</v>
      </c>
      <c r="B316" s="7" t="n">
        <v>2022</v>
      </c>
      <c r="C316" s="4" t="s">
        <v>17</v>
      </c>
      <c r="D316" s="4" t="s">
        <v>3901</v>
      </c>
      <c r="E316" s="4" t="s">
        <v>22</v>
      </c>
      <c r="F316" s="4" t="s">
        <v>3902</v>
      </c>
      <c r="G316" s="4" t="s">
        <v>24</v>
      </c>
      <c r="H316" s="4" t="s">
        <v>3903</v>
      </c>
      <c r="I316" s="4" t="s">
        <v>24</v>
      </c>
      <c r="J316" s="4" t="s">
        <v>3904</v>
      </c>
      <c r="K316" s="4" t="s">
        <v>21</v>
      </c>
      <c r="L316" s="4" t="s">
        <v>3905</v>
      </c>
      <c r="M316" s="4" t="s">
        <v>21</v>
      </c>
      <c r="N316" s="7" t="n">
        <v>1</v>
      </c>
      <c r="O316" s="4" t="s">
        <v>3910</v>
      </c>
      <c r="P316" s="11"/>
    </row>
    <row r="317" customFormat="false" ht="15" hidden="false" customHeight="false" outlineLevel="0" collapsed="false">
      <c r="A317" s="4" t="s">
        <v>2506</v>
      </c>
      <c r="B317" s="7" t="n">
        <v>2022</v>
      </c>
      <c r="C317" s="4" t="s">
        <v>14</v>
      </c>
      <c r="D317" s="4" t="s">
        <v>3914</v>
      </c>
      <c r="E317" s="4" t="s">
        <v>23</v>
      </c>
      <c r="F317" s="4" t="s">
        <v>3908</v>
      </c>
      <c r="G317" s="4" t="s">
        <v>23</v>
      </c>
      <c r="H317" s="4" t="s">
        <v>3909</v>
      </c>
      <c r="I317" s="4" t="s">
        <v>22</v>
      </c>
      <c r="J317" s="4" t="s">
        <v>3904</v>
      </c>
      <c r="K317" s="4" t="s">
        <v>21</v>
      </c>
      <c r="L317" s="4" t="s">
        <v>3905</v>
      </c>
      <c r="M317" s="4" t="s">
        <v>21</v>
      </c>
      <c r="N317" s="7" t="n">
        <v>3</v>
      </c>
      <c r="O317" s="4" t="s">
        <v>3906</v>
      </c>
      <c r="P317" s="10" t="n">
        <v>1.68</v>
      </c>
    </row>
    <row r="318" customFormat="false" ht="15" hidden="false" customHeight="false" outlineLevel="0" collapsed="false">
      <c r="A318" s="4" t="s">
        <v>2513</v>
      </c>
      <c r="B318" s="7" t="n">
        <v>2023</v>
      </c>
      <c r="C318" s="4" t="s">
        <v>14</v>
      </c>
      <c r="D318" s="4" t="s">
        <v>3914</v>
      </c>
      <c r="E318" s="4" t="s">
        <v>20</v>
      </c>
      <c r="F318" s="4" t="s">
        <v>3908</v>
      </c>
      <c r="G318" s="4" t="s">
        <v>21</v>
      </c>
      <c r="H318" s="4" t="s">
        <v>3909</v>
      </c>
      <c r="I318" s="4" t="s">
        <v>20</v>
      </c>
      <c r="J318" s="4" t="s">
        <v>3904</v>
      </c>
      <c r="K318" s="4" t="s">
        <v>20</v>
      </c>
      <c r="L318" s="4" t="s">
        <v>3905</v>
      </c>
      <c r="M318" s="4" t="s">
        <v>23</v>
      </c>
      <c r="N318" s="7" t="n">
        <v>3</v>
      </c>
      <c r="O318" s="4" t="s">
        <v>3906</v>
      </c>
      <c r="P318" s="10" t="n">
        <v>1.1134</v>
      </c>
    </row>
    <row r="319" customFormat="false" ht="15" hidden="false" customHeight="false" outlineLevel="0" collapsed="false">
      <c r="A319" s="4" t="s">
        <v>2521</v>
      </c>
      <c r="B319" s="7" t="n">
        <v>2023</v>
      </c>
      <c r="C319" s="4" t="s">
        <v>18</v>
      </c>
      <c r="D319" s="4" t="s">
        <v>3915</v>
      </c>
      <c r="E319" s="4" t="s">
        <v>23</v>
      </c>
      <c r="F319" s="4" t="s">
        <v>3916</v>
      </c>
      <c r="G319" s="4" t="s">
        <v>22</v>
      </c>
      <c r="H319" s="4" t="s">
        <v>3917</v>
      </c>
      <c r="I319" s="4" t="s">
        <v>22</v>
      </c>
      <c r="J319" s="4" t="s">
        <v>3904</v>
      </c>
      <c r="K319" s="4" t="s">
        <v>23</v>
      </c>
      <c r="L319" s="4" t="s">
        <v>3905</v>
      </c>
      <c r="M319" s="4" t="s">
        <v>21</v>
      </c>
      <c r="N319" s="7" t="n">
        <v>3</v>
      </c>
      <c r="O319" s="4" t="s">
        <v>3906</v>
      </c>
      <c r="P319" s="10" t="n">
        <v>-1.4896</v>
      </c>
    </row>
    <row r="320" customFormat="false" ht="15" hidden="false" customHeight="false" outlineLevel="0" collapsed="false">
      <c r="A320" s="4" t="s">
        <v>2529</v>
      </c>
      <c r="B320" s="7" t="n">
        <v>2024</v>
      </c>
      <c r="C320" s="4" t="s">
        <v>15</v>
      </c>
      <c r="D320" s="4" t="s">
        <v>3907</v>
      </c>
      <c r="E320" s="4" t="s">
        <v>21</v>
      </c>
      <c r="F320" s="4" t="s">
        <v>3908</v>
      </c>
      <c r="G320" s="4" t="s">
        <v>20</v>
      </c>
      <c r="H320" s="4" t="s">
        <v>3909</v>
      </c>
      <c r="I320" s="4" t="s">
        <v>21</v>
      </c>
      <c r="J320" s="4" t="s">
        <v>3904</v>
      </c>
      <c r="K320" s="4" t="s">
        <v>21</v>
      </c>
      <c r="L320" s="4" t="s">
        <v>3905</v>
      </c>
      <c r="M320" s="4" t="s">
        <v>23</v>
      </c>
      <c r="N320" s="7" t="n">
        <v>3</v>
      </c>
      <c r="O320" s="4" t="s">
        <v>3906</v>
      </c>
      <c r="P320" s="10" t="n">
        <v>-0.5919</v>
      </c>
    </row>
    <row r="321" customFormat="false" ht="15" hidden="false" customHeight="false" outlineLevel="0" collapsed="false">
      <c r="A321" s="4" t="s">
        <v>2537</v>
      </c>
      <c r="B321" s="7" t="n">
        <v>2024</v>
      </c>
      <c r="C321" s="4" t="s">
        <v>16</v>
      </c>
      <c r="D321" s="4" t="s">
        <v>3911</v>
      </c>
      <c r="E321" s="4" t="s">
        <v>20</v>
      </c>
      <c r="F321" s="4" t="s">
        <v>3912</v>
      </c>
      <c r="G321" s="4" t="s">
        <v>20</v>
      </c>
      <c r="H321" s="4" t="s">
        <v>3913</v>
      </c>
      <c r="I321" s="4" t="s">
        <v>23</v>
      </c>
      <c r="J321" s="4" t="s">
        <v>3904</v>
      </c>
      <c r="K321" s="4" t="s">
        <v>21</v>
      </c>
      <c r="L321" s="4" t="s">
        <v>3905</v>
      </c>
      <c r="M321" s="4" t="s">
        <v>22</v>
      </c>
      <c r="N321" s="7" t="n">
        <v>3</v>
      </c>
      <c r="O321" s="4" t="s">
        <v>3906</v>
      </c>
      <c r="P321" s="10" t="n">
        <v>1.0529</v>
      </c>
    </row>
    <row r="322" customFormat="false" ht="15" hidden="false" customHeight="false" outlineLevel="0" collapsed="false">
      <c r="A322" s="4" t="s">
        <v>2545</v>
      </c>
      <c r="B322" s="7" t="n">
        <v>2021</v>
      </c>
      <c r="C322" s="4" t="s">
        <v>14</v>
      </c>
      <c r="D322" s="4" t="s">
        <v>3914</v>
      </c>
      <c r="E322" s="4" t="s">
        <v>20</v>
      </c>
      <c r="F322" s="4" t="s">
        <v>3908</v>
      </c>
      <c r="G322" s="4" t="s">
        <v>23</v>
      </c>
      <c r="H322" s="4" t="s">
        <v>3909</v>
      </c>
      <c r="I322" s="4" t="s">
        <v>22</v>
      </c>
      <c r="J322" s="4" t="s">
        <v>3904</v>
      </c>
      <c r="K322" s="4" t="s">
        <v>22</v>
      </c>
      <c r="L322" s="4" t="s">
        <v>3905</v>
      </c>
      <c r="M322" s="4" t="s">
        <v>24</v>
      </c>
      <c r="N322" s="7" t="n">
        <v>3</v>
      </c>
      <c r="O322" s="4" t="s">
        <v>3906</v>
      </c>
      <c r="P322" s="10" t="n">
        <v>0.9</v>
      </c>
    </row>
    <row r="323" customFormat="false" ht="15" hidden="false" customHeight="false" outlineLevel="0" collapsed="false">
      <c r="A323" s="4" t="s">
        <v>2553</v>
      </c>
      <c r="B323" s="7" t="n">
        <v>2022</v>
      </c>
      <c r="C323" s="4" t="s">
        <v>15</v>
      </c>
      <c r="D323" s="4" t="s">
        <v>3907</v>
      </c>
      <c r="E323" s="4" t="s">
        <v>20</v>
      </c>
      <c r="F323" s="4" t="s">
        <v>3908</v>
      </c>
      <c r="G323" s="4" t="s">
        <v>22</v>
      </c>
      <c r="H323" s="4" t="s">
        <v>3909</v>
      </c>
      <c r="I323" s="4" t="s">
        <v>24</v>
      </c>
      <c r="J323" s="4" t="s">
        <v>3904</v>
      </c>
      <c r="K323" s="4" t="s">
        <v>23</v>
      </c>
      <c r="L323" s="4" t="s">
        <v>3905</v>
      </c>
      <c r="M323" s="4" t="s">
        <v>21</v>
      </c>
      <c r="N323" s="7" t="n">
        <v>2</v>
      </c>
      <c r="O323" s="4" t="s">
        <v>3910</v>
      </c>
      <c r="P323" s="11"/>
    </row>
    <row r="324" customFormat="false" ht="15" hidden="false" customHeight="false" outlineLevel="0" collapsed="false">
      <c r="A324" s="4" t="s">
        <v>2560</v>
      </c>
      <c r="B324" s="7" t="n">
        <v>2022</v>
      </c>
      <c r="C324" s="4" t="s">
        <v>18</v>
      </c>
      <c r="D324" s="4" t="s">
        <v>3915</v>
      </c>
      <c r="E324" s="4" t="s">
        <v>23</v>
      </c>
      <c r="F324" s="4" t="s">
        <v>3916</v>
      </c>
      <c r="G324" s="4" t="s">
        <v>21</v>
      </c>
      <c r="H324" s="4" t="s">
        <v>3917</v>
      </c>
      <c r="I324" s="4" t="s">
        <v>21</v>
      </c>
      <c r="J324" s="4" t="s">
        <v>3904</v>
      </c>
      <c r="K324" s="4" t="s">
        <v>23</v>
      </c>
      <c r="L324" s="4" t="s">
        <v>3905</v>
      </c>
      <c r="M324" s="4" t="s">
        <v>21</v>
      </c>
      <c r="N324" s="7" t="n">
        <v>3</v>
      </c>
      <c r="O324" s="4" t="s">
        <v>3906</v>
      </c>
      <c r="P324" s="10" t="n">
        <v>-0.4492</v>
      </c>
    </row>
    <row r="325" customFormat="false" ht="15" hidden="false" customHeight="false" outlineLevel="0" collapsed="false">
      <c r="A325" s="4" t="s">
        <v>2568</v>
      </c>
      <c r="B325" s="7" t="n">
        <v>2021</v>
      </c>
      <c r="C325" s="4" t="s">
        <v>14</v>
      </c>
      <c r="D325" s="4" t="s">
        <v>3914</v>
      </c>
      <c r="E325" s="4" t="s">
        <v>23</v>
      </c>
      <c r="F325" s="4" t="s">
        <v>3908</v>
      </c>
      <c r="G325" s="4" t="s">
        <v>20</v>
      </c>
      <c r="H325" s="4" t="s">
        <v>3909</v>
      </c>
      <c r="I325" s="4" t="s">
        <v>23</v>
      </c>
      <c r="J325" s="4" t="s">
        <v>3904</v>
      </c>
      <c r="K325" s="4" t="s">
        <v>23</v>
      </c>
      <c r="L325" s="4" t="s">
        <v>3905</v>
      </c>
      <c r="M325" s="4" t="s">
        <v>22</v>
      </c>
      <c r="N325" s="7" t="n">
        <v>3</v>
      </c>
      <c r="O325" s="4" t="s">
        <v>3906</v>
      </c>
      <c r="P325" s="10" t="n">
        <v>-0.5934</v>
      </c>
    </row>
    <row r="326" customFormat="false" ht="15" hidden="false" customHeight="false" outlineLevel="0" collapsed="false">
      <c r="A326" s="4" t="s">
        <v>2576</v>
      </c>
      <c r="B326" s="7" t="n">
        <v>2025</v>
      </c>
      <c r="C326" s="4" t="s">
        <v>15</v>
      </c>
      <c r="D326" s="4" t="s">
        <v>3907</v>
      </c>
      <c r="E326" s="4" t="s">
        <v>22</v>
      </c>
      <c r="F326" s="4" t="s">
        <v>3908</v>
      </c>
      <c r="G326" s="4" t="s">
        <v>22</v>
      </c>
      <c r="H326" s="4" t="s">
        <v>3909</v>
      </c>
      <c r="I326" s="4" t="s">
        <v>22</v>
      </c>
      <c r="J326" s="4" t="s">
        <v>3904</v>
      </c>
      <c r="K326" s="4" t="s">
        <v>23</v>
      </c>
      <c r="L326" s="4" t="s">
        <v>3905</v>
      </c>
      <c r="M326" s="4" t="s">
        <v>20</v>
      </c>
      <c r="N326" s="7" t="n">
        <v>3</v>
      </c>
      <c r="O326" s="4" t="s">
        <v>3906</v>
      </c>
      <c r="P326" s="10" t="n">
        <v>-1.0936</v>
      </c>
    </row>
    <row r="327" customFormat="false" ht="15" hidden="false" customHeight="false" outlineLevel="0" collapsed="false">
      <c r="A327" s="4" t="s">
        <v>2582</v>
      </c>
      <c r="B327" s="7" t="n">
        <v>2024</v>
      </c>
      <c r="C327" s="4" t="s">
        <v>14</v>
      </c>
      <c r="D327" s="4" t="s">
        <v>3914</v>
      </c>
      <c r="E327" s="4" t="s">
        <v>22</v>
      </c>
      <c r="F327" s="4" t="s">
        <v>3908</v>
      </c>
      <c r="G327" s="4" t="s">
        <v>21</v>
      </c>
      <c r="H327" s="4" t="s">
        <v>3909</v>
      </c>
      <c r="I327" s="4" t="s">
        <v>21</v>
      </c>
      <c r="J327" s="4" t="s">
        <v>3904</v>
      </c>
      <c r="K327" s="4" t="s">
        <v>21</v>
      </c>
      <c r="L327" s="4" t="s">
        <v>3905</v>
      </c>
      <c r="M327" s="4" t="s">
        <v>23</v>
      </c>
      <c r="N327" s="7" t="n">
        <v>3</v>
      </c>
      <c r="O327" s="4" t="s">
        <v>3906</v>
      </c>
      <c r="P327" s="10" t="n">
        <v>1.69</v>
      </c>
    </row>
    <row r="328" customFormat="false" ht="15" hidden="false" customHeight="false" outlineLevel="0" collapsed="false">
      <c r="A328" s="4" t="s">
        <v>2588</v>
      </c>
      <c r="B328" s="7" t="n">
        <v>2023</v>
      </c>
      <c r="C328" s="4" t="s">
        <v>17</v>
      </c>
      <c r="D328" s="4" t="s">
        <v>3901</v>
      </c>
      <c r="E328" s="4" t="s">
        <v>21</v>
      </c>
      <c r="F328" s="4" t="s">
        <v>3902</v>
      </c>
      <c r="G328" s="4" t="s">
        <v>23</v>
      </c>
      <c r="H328" s="4" t="s">
        <v>3903</v>
      </c>
      <c r="I328" s="4" t="s">
        <v>22</v>
      </c>
      <c r="J328" s="4" t="s">
        <v>3904</v>
      </c>
      <c r="K328" s="4" t="s">
        <v>22</v>
      </c>
      <c r="L328" s="4" t="s">
        <v>3905</v>
      </c>
      <c r="M328" s="4" t="s">
        <v>22</v>
      </c>
      <c r="N328" s="7" t="n">
        <v>3</v>
      </c>
      <c r="O328" s="4" t="s">
        <v>3906</v>
      </c>
      <c r="P328" s="10" t="n">
        <v>2.1505</v>
      </c>
    </row>
    <row r="329" customFormat="false" ht="15" hidden="false" customHeight="false" outlineLevel="0" collapsed="false">
      <c r="A329" s="4" t="s">
        <v>2596</v>
      </c>
      <c r="B329" s="7" t="n">
        <v>2023</v>
      </c>
      <c r="C329" s="4" t="s">
        <v>14</v>
      </c>
      <c r="D329" s="4" t="s">
        <v>3914</v>
      </c>
      <c r="E329" s="4" t="s">
        <v>20</v>
      </c>
      <c r="F329" s="4" t="s">
        <v>3908</v>
      </c>
      <c r="G329" s="4" t="s">
        <v>21</v>
      </c>
      <c r="H329" s="4" t="s">
        <v>3909</v>
      </c>
      <c r="I329" s="4" t="s">
        <v>22</v>
      </c>
      <c r="J329" s="4" t="s">
        <v>3904</v>
      </c>
      <c r="K329" s="4" t="s">
        <v>21</v>
      </c>
      <c r="L329" s="4" t="s">
        <v>3905</v>
      </c>
      <c r="M329" s="4" t="s">
        <v>21</v>
      </c>
      <c r="N329" s="7" t="n">
        <v>3</v>
      </c>
      <c r="O329" s="4" t="s">
        <v>3906</v>
      </c>
      <c r="P329" s="10" t="n">
        <v>-0.2049</v>
      </c>
    </row>
    <row r="330" customFormat="false" ht="15" hidden="false" customHeight="false" outlineLevel="0" collapsed="false">
      <c r="A330" s="4" t="s">
        <v>2604</v>
      </c>
      <c r="B330" s="7" t="n">
        <v>2021</v>
      </c>
      <c r="C330" s="4" t="s">
        <v>15</v>
      </c>
      <c r="D330" s="4" t="s">
        <v>3907</v>
      </c>
      <c r="E330" s="4" t="s">
        <v>21</v>
      </c>
      <c r="F330" s="4" t="s">
        <v>3908</v>
      </c>
      <c r="G330" s="4" t="s">
        <v>21</v>
      </c>
      <c r="H330" s="4" t="s">
        <v>3909</v>
      </c>
      <c r="I330" s="4" t="s">
        <v>20</v>
      </c>
      <c r="J330" s="4" t="s">
        <v>3904</v>
      </c>
      <c r="K330" s="4" t="s">
        <v>22</v>
      </c>
      <c r="L330" s="4" t="s">
        <v>3905</v>
      </c>
      <c r="M330" s="4" t="s">
        <v>22</v>
      </c>
      <c r="N330" s="7" t="n">
        <v>3</v>
      </c>
      <c r="O330" s="4" t="s">
        <v>3906</v>
      </c>
      <c r="P330" s="10" t="n">
        <v>-0.6426</v>
      </c>
    </row>
    <row r="331" customFormat="false" ht="15" hidden="false" customHeight="false" outlineLevel="0" collapsed="false">
      <c r="A331" s="4" t="s">
        <v>2612</v>
      </c>
      <c r="B331" s="7" t="n">
        <v>2021</v>
      </c>
      <c r="C331" s="4" t="s">
        <v>17</v>
      </c>
      <c r="D331" s="4" t="s">
        <v>3901</v>
      </c>
      <c r="E331" s="4" t="s">
        <v>22</v>
      </c>
      <c r="F331" s="4" t="s">
        <v>3902</v>
      </c>
      <c r="G331" s="4" t="s">
        <v>22</v>
      </c>
      <c r="H331" s="4" t="s">
        <v>3903</v>
      </c>
      <c r="I331" s="4" t="s">
        <v>24</v>
      </c>
      <c r="J331" s="4" t="s">
        <v>3904</v>
      </c>
      <c r="K331" s="4" t="s">
        <v>21</v>
      </c>
      <c r="L331" s="4" t="s">
        <v>3905</v>
      </c>
      <c r="M331" s="4" t="s">
        <v>22</v>
      </c>
      <c r="N331" s="7" t="n">
        <v>2</v>
      </c>
      <c r="O331" s="4" t="s">
        <v>3910</v>
      </c>
      <c r="P331" s="11"/>
    </row>
    <row r="332" customFormat="false" ht="15" hidden="false" customHeight="false" outlineLevel="0" collapsed="false">
      <c r="A332" s="4" t="s">
        <v>2620</v>
      </c>
      <c r="B332" s="7" t="n">
        <v>2022</v>
      </c>
      <c r="C332" s="4" t="s">
        <v>15</v>
      </c>
      <c r="D332" s="4" t="s">
        <v>3907</v>
      </c>
      <c r="E332" s="4" t="s">
        <v>21</v>
      </c>
      <c r="F332" s="4" t="s">
        <v>3908</v>
      </c>
      <c r="G332" s="4" t="s">
        <v>20</v>
      </c>
      <c r="H332" s="4" t="s">
        <v>3909</v>
      </c>
      <c r="I332" s="4" t="s">
        <v>20</v>
      </c>
      <c r="J332" s="4" t="s">
        <v>3904</v>
      </c>
      <c r="K332" s="4" t="s">
        <v>21</v>
      </c>
      <c r="L332" s="4" t="s">
        <v>3905</v>
      </c>
      <c r="M332" s="4" t="s">
        <v>23</v>
      </c>
      <c r="N332" s="7" t="n">
        <v>3</v>
      </c>
      <c r="O332" s="4" t="s">
        <v>3906</v>
      </c>
      <c r="P332" s="10" t="n">
        <v>-0.7199</v>
      </c>
    </row>
    <row r="333" customFormat="false" ht="15" hidden="false" customHeight="false" outlineLevel="0" collapsed="false">
      <c r="A333" s="4" t="s">
        <v>2628</v>
      </c>
      <c r="B333" s="7" t="n">
        <v>2025</v>
      </c>
      <c r="C333" s="4" t="s">
        <v>18</v>
      </c>
      <c r="D333" s="4" t="s">
        <v>3915</v>
      </c>
      <c r="E333" s="4" t="s">
        <v>22</v>
      </c>
      <c r="F333" s="4" t="s">
        <v>3916</v>
      </c>
      <c r="G333" s="4" t="s">
        <v>22</v>
      </c>
      <c r="H333" s="4" t="s">
        <v>3917</v>
      </c>
      <c r="I333" s="4" t="s">
        <v>21</v>
      </c>
      <c r="J333" s="4" t="s">
        <v>3904</v>
      </c>
      <c r="K333" s="4" t="s">
        <v>22</v>
      </c>
      <c r="L333" s="4" t="s">
        <v>3905</v>
      </c>
      <c r="M333" s="4" t="s">
        <v>23</v>
      </c>
      <c r="N333" s="7" t="n">
        <v>3</v>
      </c>
      <c r="O333" s="4" t="s">
        <v>3906</v>
      </c>
      <c r="P333" s="10" t="n">
        <v>-0.9278</v>
      </c>
    </row>
    <row r="334" customFormat="false" ht="15" hidden="false" customHeight="false" outlineLevel="0" collapsed="false">
      <c r="A334" s="4" t="s">
        <v>2636</v>
      </c>
      <c r="B334" s="7" t="n">
        <v>2021</v>
      </c>
      <c r="C334" s="4" t="s">
        <v>15</v>
      </c>
      <c r="D334" s="4" t="s">
        <v>3907</v>
      </c>
      <c r="E334" s="4" t="s">
        <v>22</v>
      </c>
      <c r="F334" s="4" t="s">
        <v>3908</v>
      </c>
      <c r="G334" s="4" t="s">
        <v>20</v>
      </c>
      <c r="H334" s="4" t="s">
        <v>3909</v>
      </c>
      <c r="I334" s="4" t="s">
        <v>22</v>
      </c>
      <c r="J334" s="4" t="s">
        <v>3904</v>
      </c>
      <c r="K334" s="4" t="s">
        <v>21</v>
      </c>
      <c r="L334" s="4" t="s">
        <v>3905</v>
      </c>
      <c r="M334" s="4" t="s">
        <v>21</v>
      </c>
      <c r="N334" s="7" t="n">
        <v>3</v>
      </c>
      <c r="O334" s="4" t="s">
        <v>3906</v>
      </c>
      <c r="P334" s="10" t="n">
        <v>0.788</v>
      </c>
    </row>
    <row r="335" customFormat="false" ht="15" hidden="false" customHeight="false" outlineLevel="0" collapsed="false">
      <c r="A335" s="4" t="s">
        <v>2643</v>
      </c>
      <c r="B335" s="7" t="n">
        <v>2023</v>
      </c>
      <c r="C335" s="4" t="s">
        <v>16</v>
      </c>
      <c r="D335" s="4" t="s">
        <v>3911</v>
      </c>
      <c r="E335" s="4" t="s">
        <v>22</v>
      </c>
      <c r="F335" s="4" t="s">
        <v>3912</v>
      </c>
      <c r="G335" s="4" t="s">
        <v>22</v>
      </c>
      <c r="H335" s="4" t="s">
        <v>3913</v>
      </c>
      <c r="I335" s="4" t="s">
        <v>23</v>
      </c>
      <c r="J335" s="4" t="s">
        <v>3904</v>
      </c>
      <c r="K335" s="4" t="s">
        <v>21</v>
      </c>
      <c r="L335" s="4" t="s">
        <v>3905</v>
      </c>
      <c r="M335" s="4" t="s">
        <v>20</v>
      </c>
      <c r="N335" s="7" t="n">
        <v>3</v>
      </c>
      <c r="O335" s="4" t="s">
        <v>3906</v>
      </c>
      <c r="P335" s="10" t="n">
        <v>-0.5777</v>
      </c>
    </row>
    <row r="336" customFormat="false" ht="15" hidden="false" customHeight="false" outlineLevel="0" collapsed="false">
      <c r="A336" s="4" t="s">
        <v>2651</v>
      </c>
      <c r="B336" s="7" t="n">
        <v>2021</v>
      </c>
      <c r="C336" s="4" t="s">
        <v>15</v>
      </c>
      <c r="D336" s="4" t="s">
        <v>3907</v>
      </c>
      <c r="E336" s="4" t="s">
        <v>22</v>
      </c>
      <c r="F336" s="4" t="s">
        <v>3908</v>
      </c>
      <c r="G336" s="4" t="s">
        <v>24</v>
      </c>
      <c r="H336" s="4" t="s">
        <v>3909</v>
      </c>
      <c r="I336" s="4" t="s">
        <v>23</v>
      </c>
      <c r="J336" s="4" t="s">
        <v>3904</v>
      </c>
      <c r="K336" s="4" t="s">
        <v>23</v>
      </c>
      <c r="L336" s="4" t="s">
        <v>3905</v>
      </c>
      <c r="M336" s="4" t="s">
        <v>21</v>
      </c>
      <c r="N336" s="7" t="n">
        <v>2</v>
      </c>
      <c r="O336" s="4" t="s">
        <v>3910</v>
      </c>
      <c r="P336" s="11"/>
    </row>
    <row r="337" customFormat="false" ht="15" hidden="false" customHeight="false" outlineLevel="0" collapsed="false">
      <c r="A337" s="4" t="s">
        <v>2659</v>
      </c>
      <c r="B337" s="7" t="n">
        <v>2023</v>
      </c>
      <c r="C337" s="4" t="s">
        <v>17</v>
      </c>
      <c r="D337" s="4" t="s">
        <v>3901</v>
      </c>
      <c r="E337" s="4" t="s">
        <v>22</v>
      </c>
      <c r="F337" s="4" t="s">
        <v>3902</v>
      </c>
      <c r="G337" s="4" t="s">
        <v>22</v>
      </c>
      <c r="H337" s="4" t="s">
        <v>3903</v>
      </c>
      <c r="I337" s="4" t="s">
        <v>21</v>
      </c>
      <c r="J337" s="4" t="s">
        <v>3904</v>
      </c>
      <c r="K337" s="4" t="s">
        <v>21</v>
      </c>
      <c r="L337" s="4" t="s">
        <v>3905</v>
      </c>
      <c r="M337" s="4" t="s">
        <v>21</v>
      </c>
      <c r="N337" s="7" t="n">
        <v>3</v>
      </c>
      <c r="O337" s="4" t="s">
        <v>3906</v>
      </c>
      <c r="P337" s="10" t="n">
        <v>-0.2725</v>
      </c>
    </row>
    <row r="338" customFormat="false" ht="15" hidden="false" customHeight="false" outlineLevel="0" collapsed="false">
      <c r="A338" s="4" t="s">
        <v>2666</v>
      </c>
      <c r="B338" s="7" t="n">
        <v>2021</v>
      </c>
      <c r="C338" s="4" t="s">
        <v>16</v>
      </c>
      <c r="D338" s="4" t="s">
        <v>3911</v>
      </c>
      <c r="E338" s="4" t="s">
        <v>23</v>
      </c>
      <c r="F338" s="4" t="s">
        <v>3912</v>
      </c>
      <c r="G338" s="4" t="s">
        <v>23</v>
      </c>
      <c r="H338" s="4" t="s">
        <v>3913</v>
      </c>
      <c r="I338" s="4" t="s">
        <v>22</v>
      </c>
      <c r="J338" s="4" t="s">
        <v>3904</v>
      </c>
      <c r="K338" s="4" t="s">
        <v>22</v>
      </c>
      <c r="L338" s="4" t="s">
        <v>3905</v>
      </c>
      <c r="M338" s="4" t="s">
        <v>20</v>
      </c>
      <c r="N338" s="7" t="n">
        <v>3</v>
      </c>
      <c r="O338" s="4" t="s">
        <v>3906</v>
      </c>
      <c r="P338" s="10" t="n">
        <v>-0.3895</v>
      </c>
    </row>
    <row r="339" customFormat="false" ht="15" hidden="false" customHeight="false" outlineLevel="0" collapsed="false">
      <c r="A339" s="4" t="s">
        <v>2674</v>
      </c>
      <c r="B339" s="7" t="n">
        <v>2024</v>
      </c>
      <c r="C339" s="4" t="s">
        <v>14</v>
      </c>
      <c r="D339" s="4" t="s">
        <v>3914</v>
      </c>
      <c r="E339" s="4" t="s">
        <v>24</v>
      </c>
      <c r="F339" s="4" t="s">
        <v>3908</v>
      </c>
      <c r="G339" s="4" t="s">
        <v>24</v>
      </c>
      <c r="H339" s="4" t="s">
        <v>3909</v>
      </c>
      <c r="I339" s="4" t="s">
        <v>23</v>
      </c>
      <c r="J339" s="4" t="s">
        <v>3904</v>
      </c>
      <c r="K339" s="4" t="s">
        <v>20</v>
      </c>
      <c r="L339" s="4" t="s">
        <v>3905</v>
      </c>
      <c r="M339" s="4" t="s">
        <v>23</v>
      </c>
      <c r="N339" s="7" t="n">
        <v>1</v>
      </c>
      <c r="O339" s="4" t="s">
        <v>3910</v>
      </c>
      <c r="P339" s="11"/>
    </row>
    <row r="340" customFormat="false" ht="15" hidden="false" customHeight="false" outlineLevel="0" collapsed="false">
      <c r="A340" s="4" t="s">
        <v>2680</v>
      </c>
      <c r="B340" s="7" t="n">
        <v>2023</v>
      </c>
      <c r="C340" s="4" t="s">
        <v>16</v>
      </c>
      <c r="D340" s="4" t="s">
        <v>3911</v>
      </c>
      <c r="E340" s="4" t="s">
        <v>21</v>
      </c>
      <c r="F340" s="4" t="s">
        <v>3912</v>
      </c>
      <c r="G340" s="4" t="s">
        <v>21</v>
      </c>
      <c r="H340" s="4" t="s">
        <v>3913</v>
      </c>
      <c r="I340" s="4" t="s">
        <v>23</v>
      </c>
      <c r="J340" s="4" t="s">
        <v>3904</v>
      </c>
      <c r="K340" s="4" t="s">
        <v>24</v>
      </c>
      <c r="L340" s="4" t="s">
        <v>3905</v>
      </c>
      <c r="M340" s="4" t="s">
        <v>23</v>
      </c>
      <c r="N340" s="7" t="n">
        <v>3</v>
      </c>
      <c r="O340" s="4" t="s">
        <v>3906</v>
      </c>
      <c r="P340" s="10" t="n">
        <v>0.5087</v>
      </c>
    </row>
    <row r="341" customFormat="false" ht="15" hidden="false" customHeight="false" outlineLevel="0" collapsed="false">
      <c r="A341" s="4" t="s">
        <v>2686</v>
      </c>
      <c r="B341" s="7" t="n">
        <v>2025</v>
      </c>
      <c r="C341" s="4" t="s">
        <v>15</v>
      </c>
      <c r="D341" s="4" t="s">
        <v>3907</v>
      </c>
      <c r="E341" s="4" t="s">
        <v>23</v>
      </c>
      <c r="F341" s="4" t="s">
        <v>3908</v>
      </c>
      <c r="G341" s="4" t="s">
        <v>22</v>
      </c>
      <c r="H341" s="4" t="s">
        <v>3909</v>
      </c>
      <c r="I341" s="4" t="s">
        <v>22</v>
      </c>
      <c r="J341" s="4" t="s">
        <v>3904</v>
      </c>
      <c r="K341" s="4" t="s">
        <v>22</v>
      </c>
      <c r="L341" s="4" t="s">
        <v>3905</v>
      </c>
      <c r="M341" s="4" t="s">
        <v>20</v>
      </c>
      <c r="N341" s="7" t="n">
        <v>3</v>
      </c>
      <c r="O341" s="4" t="s">
        <v>3906</v>
      </c>
      <c r="P341" s="10" t="n">
        <v>0.6483</v>
      </c>
    </row>
    <row r="342" customFormat="false" ht="15" hidden="false" customHeight="false" outlineLevel="0" collapsed="false">
      <c r="A342" s="4" t="s">
        <v>2693</v>
      </c>
      <c r="B342" s="7" t="n">
        <v>2025</v>
      </c>
      <c r="C342" s="4" t="s">
        <v>17</v>
      </c>
      <c r="D342" s="4" t="s">
        <v>3901</v>
      </c>
      <c r="E342" s="4" t="s">
        <v>24</v>
      </c>
      <c r="F342" s="4" t="s">
        <v>3902</v>
      </c>
      <c r="G342" s="4" t="s">
        <v>24</v>
      </c>
      <c r="H342" s="4" t="s">
        <v>3903</v>
      </c>
      <c r="I342" s="4" t="s">
        <v>22</v>
      </c>
      <c r="J342" s="4" t="s">
        <v>3904</v>
      </c>
      <c r="K342" s="4" t="s">
        <v>21</v>
      </c>
      <c r="L342" s="4" t="s">
        <v>3905</v>
      </c>
      <c r="M342" s="4" t="s">
        <v>20</v>
      </c>
      <c r="N342" s="7" t="n">
        <v>1</v>
      </c>
      <c r="O342" s="4" t="s">
        <v>3910</v>
      </c>
      <c r="P342" s="11"/>
    </row>
    <row r="343" customFormat="false" ht="15" hidden="false" customHeight="false" outlineLevel="0" collapsed="false">
      <c r="A343" s="4" t="s">
        <v>2701</v>
      </c>
      <c r="B343" s="7" t="n">
        <v>2024</v>
      </c>
      <c r="C343" s="4" t="s">
        <v>14</v>
      </c>
      <c r="D343" s="4" t="s">
        <v>3914</v>
      </c>
      <c r="E343" s="4" t="s">
        <v>21</v>
      </c>
      <c r="F343" s="4" t="s">
        <v>3908</v>
      </c>
      <c r="G343" s="4" t="s">
        <v>21</v>
      </c>
      <c r="H343" s="4" t="s">
        <v>3909</v>
      </c>
      <c r="I343" s="4" t="s">
        <v>23</v>
      </c>
      <c r="J343" s="4" t="s">
        <v>3904</v>
      </c>
      <c r="K343" s="4" t="s">
        <v>20</v>
      </c>
      <c r="L343" s="4" t="s">
        <v>3905</v>
      </c>
      <c r="M343" s="4" t="s">
        <v>20</v>
      </c>
      <c r="N343" s="7" t="n">
        <v>3</v>
      </c>
      <c r="O343" s="4" t="s">
        <v>3906</v>
      </c>
      <c r="P343" s="10" t="n">
        <v>1.6681</v>
      </c>
    </row>
    <row r="344" customFormat="false" ht="15" hidden="false" customHeight="false" outlineLevel="0" collapsed="false">
      <c r="A344" s="4" t="s">
        <v>2709</v>
      </c>
      <c r="B344" s="7" t="n">
        <v>2024</v>
      </c>
      <c r="C344" s="4" t="s">
        <v>16</v>
      </c>
      <c r="D344" s="4" t="s">
        <v>3911</v>
      </c>
      <c r="E344" s="4" t="s">
        <v>22</v>
      </c>
      <c r="F344" s="4" t="s">
        <v>3912</v>
      </c>
      <c r="G344" s="4" t="s">
        <v>22</v>
      </c>
      <c r="H344" s="4" t="s">
        <v>3913</v>
      </c>
      <c r="I344" s="4" t="s">
        <v>21</v>
      </c>
      <c r="J344" s="4" t="s">
        <v>3904</v>
      </c>
      <c r="K344" s="4" t="s">
        <v>22</v>
      </c>
      <c r="L344" s="4" t="s">
        <v>3905</v>
      </c>
      <c r="M344" s="4" t="s">
        <v>20</v>
      </c>
      <c r="N344" s="7" t="n">
        <v>3</v>
      </c>
      <c r="O344" s="4" t="s">
        <v>3906</v>
      </c>
      <c r="P344" s="10" t="n">
        <v>1.8153</v>
      </c>
    </row>
    <row r="345" customFormat="false" ht="15" hidden="false" customHeight="false" outlineLevel="0" collapsed="false">
      <c r="A345" s="4" t="s">
        <v>2717</v>
      </c>
      <c r="B345" s="7" t="n">
        <v>2024</v>
      </c>
      <c r="C345" s="4" t="s">
        <v>16</v>
      </c>
      <c r="D345" s="4" t="s">
        <v>3911</v>
      </c>
      <c r="E345" s="4" t="s">
        <v>24</v>
      </c>
      <c r="F345" s="4" t="s">
        <v>3912</v>
      </c>
      <c r="G345" s="4" t="s">
        <v>21</v>
      </c>
      <c r="H345" s="4" t="s">
        <v>3913</v>
      </c>
      <c r="I345" s="4" t="s">
        <v>22</v>
      </c>
      <c r="J345" s="4" t="s">
        <v>3904</v>
      </c>
      <c r="K345" s="4" t="s">
        <v>22</v>
      </c>
      <c r="L345" s="4" t="s">
        <v>3905</v>
      </c>
      <c r="M345" s="4" t="s">
        <v>24</v>
      </c>
      <c r="N345" s="7" t="n">
        <v>2</v>
      </c>
      <c r="O345" s="4" t="s">
        <v>3910</v>
      </c>
      <c r="P345" s="11"/>
    </row>
    <row r="346" customFormat="false" ht="15" hidden="false" customHeight="false" outlineLevel="0" collapsed="false">
      <c r="A346" s="4" t="s">
        <v>2725</v>
      </c>
      <c r="B346" s="7" t="n">
        <v>2025</v>
      </c>
      <c r="C346" s="4" t="s">
        <v>18</v>
      </c>
      <c r="D346" s="4" t="s">
        <v>3915</v>
      </c>
      <c r="E346" s="4" t="s">
        <v>22</v>
      </c>
      <c r="F346" s="4" t="s">
        <v>3916</v>
      </c>
      <c r="G346" s="4" t="s">
        <v>21</v>
      </c>
      <c r="H346" s="4" t="s">
        <v>3917</v>
      </c>
      <c r="I346" s="4" t="s">
        <v>24</v>
      </c>
      <c r="J346" s="4" t="s">
        <v>3904</v>
      </c>
      <c r="K346" s="4" t="s">
        <v>21</v>
      </c>
      <c r="L346" s="4" t="s">
        <v>3905</v>
      </c>
      <c r="M346" s="4" t="s">
        <v>22</v>
      </c>
      <c r="N346" s="7" t="n">
        <v>2</v>
      </c>
      <c r="O346" s="4" t="s">
        <v>3910</v>
      </c>
      <c r="P346" s="11"/>
    </row>
    <row r="347" customFormat="false" ht="15" hidden="false" customHeight="false" outlineLevel="0" collapsed="false">
      <c r="A347" s="4" t="s">
        <v>2733</v>
      </c>
      <c r="B347" s="7" t="n">
        <v>2021</v>
      </c>
      <c r="C347" s="4" t="s">
        <v>14</v>
      </c>
      <c r="D347" s="4" t="s">
        <v>3914</v>
      </c>
      <c r="E347" s="4" t="s">
        <v>23</v>
      </c>
      <c r="F347" s="4" t="s">
        <v>3908</v>
      </c>
      <c r="G347" s="4" t="s">
        <v>21</v>
      </c>
      <c r="H347" s="4" t="s">
        <v>3909</v>
      </c>
      <c r="I347" s="4" t="s">
        <v>20</v>
      </c>
      <c r="J347" s="4" t="s">
        <v>3904</v>
      </c>
      <c r="K347" s="4" t="s">
        <v>22</v>
      </c>
      <c r="L347" s="4" t="s">
        <v>3905</v>
      </c>
      <c r="M347" s="4" t="s">
        <v>20</v>
      </c>
      <c r="N347" s="7" t="n">
        <v>3</v>
      </c>
      <c r="O347" s="4" t="s">
        <v>3906</v>
      </c>
      <c r="P347" s="10" t="n">
        <v>-0.6491</v>
      </c>
    </row>
    <row r="348" customFormat="false" ht="15" hidden="false" customHeight="false" outlineLevel="0" collapsed="false">
      <c r="A348" s="4" t="s">
        <v>2741</v>
      </c>
      <c r="B348" s="7" t="n">
        <v>2024</v>
      </c>
      <c r="C348" s="4" t="s">
        <v>18</v>
      </c>
      <c r="D348" s="4" t="s">
        <v>3915</v>
      </c>
      <c r="E348" s="4" t="s">
        <v>23</v>
      </c>
      <c r="F348" s="4" t="s">
        <v>3916</v>
      </c>
      <c r="G348" s="4" t="s">
        <v>24</v>
      </c>
      <c r="H348" s="4" t="s">
        <v>3917</v>
      </c>
      <c r="I348" s="4" t="s">
        <v>22</v>
      </c>
      <c r="J348" s="4" t="s">
        <v>3904</v>
      </c>
      <c r="K348" s="4" t="s">
        <v>21</v>
      </c>
      <c r="L348" s="4" t="s">
        <v>3905</v>
      </c>
      <c r="M348" s="4" t="s">
        <v>23</v>
      </c>
      <c r="N348" s="7" t="n">
        <v>2</v>
      </c>
      <c r="O348" s="4" t="s">
        <v>3910</v>
      </c>
      <c r="P348" s="11"/>
    </row>
    <row r="349" customFormat="false" ht="15" hidden="false" customHeight="false" outlineLevel="0" collapsed="false">
      <c r="A349" s="4" t="s">
        <v>2748</v>
      </c>
      <c r="B349" s="7" t="n">
        <v>2023</v>
      </c>
      <c r="C349" s="4" t="s">
        <v>17</v>
      </c>
      <c r="D349" s="4" t="s">
        <v>3901</v>
      </c>
      <c r="E349" s="4" t="s">
        <v>22</v>
      </c>
      <c r="F349" s="4" t="s">
        <v>3902</v>
      </c>
      <c r="G349" s="4" t="s">
        <v>22</v>
      </c>
      <c r="H349" s="4" t="s">
        <v>3903</v>
      </c>
      <c r="I349" s="4" t="s">
        <v>21</v>
      </c>
      <c r="J349" s="4" t="s">
        <v>3904</v>
      </c>
      <c r="K349" s="4" t="s">
        <v>20</v>
      </c>
      <c r="L349" s="4" t="s">
        <v>3905</v>
      </c>
      <c r="M349" s="4" t="s">
        <v>22</v>
      </c>
      <c r="N349" s="7" t="n">
        <v>3</v>
      </c>
      <c r="O349" s="4" t="s">
        <v>3906</v>
      </c>
      <c r="P349" s="10" t="n">
        <v>1.9782</v>
      </c>
    </row>
    <row r="350" customFormat="false" ht="15" hidden="false" customHeight="false" outlineLevel="0" collapsed="false">
      <c r="A350" s="4" t="s">
        <v>2754</v>
      </c>
      <c r="B350" s="7" t="n">
        <v>2023</v>
      </c>
      <c r="C350" s="4" t="s">
        <v>17</v>
      </c>
      <c r="D350" s="4" t="s">
        <v>3901</v>
      </c>
      <c r="E350" s="4" t="s">
        <v>22</v>
      </c>
      <c r="F350" s="4" t="s">
        <v>3902</v>
      </c>
      <c r="G350" s="4" t="s">
        <v>21</v>
      </c>
      <c r="H350" s="4" t="s">
        <v>3903</v>
      </c>
      <c r="I350" s="4" t="s">
        <v>21</v>
      </c>
      <c r="J350" s="4" t="s">
        <v>3904</v>
      </c>
      <c r="K350" s="4" t="s">
        <v>23</v>
      </c>
      <c r="L350" s="4" t="s">
        <v>3905</v>
      </c>
      <c r="M350" s="4" t="s">
        <v>21</v>
      </c>
      <c r="N350" s="7" t="n">
        <v>3</v>
      </c>
      <c r="O350" s="4" t="s">
        <v>3906</v>
      </c>
      <c r="P350" s="10" t="n">
        <v>0.9255</v>
      </c>
    </row>
    <row r="351" customFormat="false" ht="15" hidden="false" customHeight="false" outlineLevel="0" collapsed="false">
      <c r="A351" s="4" t="s">
        <v>2762</v>
      </c>
      <c r="B351" s="7" t="n">
        <v>2022</v>
      </c>
      <c r="C351" s="4" t="s">
        <v>18</v>
      </c>
      <c r="D351" s="4" t="s">
        <v>3915</v>
      </c>
      <c r="E351" s="4" t="s">
        <v>24</v>
      </c>
      <c r="F351" s="4" t="s">
        <v>3916</v>
      </c>
      <c r="G351" s="4" t="s">
        <v>22</v>
      </c>
      <c r="H351" s="4" t="s">
        <v>3917</v>
      </c>
      <c r="I351" s="4" t="s">
        <v>21</v>
      </c>
      <c r="J351" s="4" t="s">
        <v>3904</v>
      </c>
      <c r="K351" s="4" t="s">
        <v>21</v>
      </c>
      <c r="L351" s="4" t="s">
        <v>3905</v>
      </c>
      <c r="M351" s="4" t="s">
        <v>23</v>
      </c>
      <c r="N351" s="7" t="n">
        <v>2</v>
      </c>
      <c r="O351" s="4" t="s">
        <v>3910</v>
      </c>
      <c r="P351" s="11"/>
    </row>
    <row r="352" customFormat="false" ht="15" hidden="false" customHeight="false" outlineLevel="0" collapsed="false">
      <c r="A352" s="4" t="s">
        <v>2769</v>
      </c>
      <c r="B352" s="7" t="n">
        <v>2025</v>
      </c>
      <c r="C352" s="4" t="s">
        <v>14</v>
      </c>
      <c r="D352" s="4" t="s">
        <v>3914</v>
      </c>
      <c r="E352" s="4" t="s">
        <v>23</v>
      </c>
      <c r="F352" s="4" t="s">
        <v>3908</v>
      </c>
      <c r="G352" s="4" t="s">
        <v>20</v>
      </c>
      <c r="H352" s="4" t="s">
        <v>3909</v>
      </c>
      <c r="I352" s="4" t="s">
        <v>24</v>
      </c>
      <c r="J352" s="4" t="s">
        <v>3904</v>
      </c>
      <c r="K352" s="4" t="s">
        <v>21</v>
      </c>
      <c r="L352" s="4" t="s">
        <v>3905</v>
      </c>
      <c r="M352" s="4" t="s">
        <v>23</v>
      </c>
      <c r="N352" s="7" t="n">
        <v>2</v>
      </c>
      <c r="O352" s="4" t="s">
        <v>3910</v>
      </c>
      <c r="P352" s="11"/>
    </row>
    <row r="353" customFormat="false" ht="15" hidden="false" customHeight="false" outlineLevel="0" collapsed="false">
      <c r="A353" s="4" t="s">
        <v>2777</v>
      </c>
      <c r="B353" s="7" t="n">
        <v>2024</v>
      </c>
      <c r="C353" s="4" t="s">
        <v>15</v>
      </c>
      <c r="D353" s="4" t="s">
        <v>3907</v>
      </c>
      <c r="E353" s="4" t="s">
        <v>21</v>
      </c>
      <c r="F353" s="4" t="s">
        <v>3908</v>
      </c>
      <c r="G353" s="4" t="s">
        <v>21</v>
      </c>
      <c r="H353" s="4" t="s">
        <v>3909</v>
      </c>
      <c r="I353" s="4" t="s">
        <v>20</v>
      </c>
      <c r="J353" s="4" t="s">
        <v>3904</v>
      </c>
      <c r="K353" s="4" t="s">
        <v>22</v>
      </c>
      <c r="L353" s="4" t="s">
        <v>3905</v>
      </c>
      <c r="M353" s="4" t="s">
        <v>21</v>
      </c>
      <c r="N353" s="7" t="n">
        <v>3</v>
      </c>
      <c r="O353" s="4" t="s">
        <v>3906</v>
      </c>
      <c r="P353" s="10" t="n">
        <v>-0.2183</v>
      </c>
    </row>
    <row r="354" customFormat="false" ht="15" hidden="false" customHeight="false" outlineLevel="0" collapsed="false">
      <c r="A354" s="4" t="s">
        <v>2784</v>
      </c>
      <c r="B354" s="7" t="n">
        <v>2023</v>
      </c>
      <c r="C354" s="4" t="s">
        <v>14</v>
      </c>
      <c r="D354" s="4" t="s">
        <v>3914</v>
      </c>
      <c r="E354" s="4" t="s">
        <v>23</v>
      </c>
      <c r="F354" s="4" t="s">
        <v>3908</v>
      </c>
      <c r="G354" s="4" t="s">
        <v>22</v>
      </c>
      <c r="H354" s="4" t="s">
        <v>3909</v>
      </c>
      <c r="I354" s="4" t="s">
        <v>21</v>
      </c>
      <c r="J354" s="4" t="s">
        <v>3904</v>
      </c>
      <c r="K354" s="4" t="s">
        <v>21</v>
      </c>
      <c r="L354" s="4" t="s">
        <v>3905</v>
      </c>
      <c r="M354" s="4" t="s">
        <v>22</v>
      </c>
      <c r="N354" s="7" t="n">
        <v>3</v>
      </c>
      <c r="O354" s="4" t="s">
        <v>3906</v>
      </c>
      <c r="P354" s="10" t="n">
        <v>0.8443</v>
      </c>
    </row>
    <row r="355" customFormat="false" ht="15" hidden="false" customHeight="false" outlineLevel="0" collapsed="false">
      <c r="A355" s="4" t="s">
        <v>2791</v>
      </c>
      <c r="B355" s="7" t="n">
        <v>2022</v>
      </c>
      <c r="C355" s="4" t="s">
        <v>16</v>
      </c>
      <c r="D355" s="4" t="s">
        <v>3911</v>
      </c>
      <c r="E355" s="4" t="s">
        <v>22</v>
      </c>
      <c r="F355" s="4" t="s">
        <v>3912</v>
      </c>
      <c r="G355" s="4" t="s">
        <v>22</v>
      </c>
      <c r="H355" s="4" t="s">
        <v>3913</v>
      </c>
      <c r="I355" s="4" t="s">
        <v>20</v>
      </c>
      <c r="J355" s="4" t="s">
        <v>3904</v>
      </c>
      <c r="K355" s="4" t="s">
        <v>20</v>
      </c>
      <c r="L355" s="4" t="s">
        <v>3905</v>
      </c>
      <c r="M355" s="4" t="s">
        <v>22</v>
      </c>
      <c r="N355" s="7" t="n">
        <v>3</v>
      </c>
      <c r="O355" s="4" t="s">
        <v>3906</v>
      </c>
      <c r="P355" s="10" t="n">
        <v>0.471</v>
      </c>
    </row>
    <row r="356" customFormat="false" ht="15" hidden="false" customHeight="false" outlineLevel="0" collapsed="false">
      <c r="A356" s="4" t="s">
        <v>2798</v>
      </c>
      <c r="B356" s="7" t="n">
        <v>2024</v>
      </c>
      <c r="C356" s="4" t="s">
        <v>14</v>
      </c>
      <c r="D356" s="4" t="s">
        <v>3914</v>
      </c>
      <c r="E356" s="4" t="s">
        <v>24</v>
      </c>
      <c r="F356" s="4" t="s">
        <v>3908</v>
      </c>
      <c r="G356" s="4" t="s">
        <v>24</v>
      </c>
      <c r="H356" s="4" t="s">
        <v>3909</v>
      </c>
      <c r="I356" s="4" t="s">
        <v>21</v>
      </c>
      <c r="J356" s="4" t="s">
        <v>3904</v>
      </c>
      <c r="K356" s="4" t="s">
        <v>20</v>
      </c>
      <c r="L356" s="4" t="s">
        <v>3905</v>
      </c>
      <c r="M356" s="4" t="s">
        <v>22</v>
      </c>
      <c r="N356" s="7" t="n">
        <v>1</v>
      </c>
      <c r="O356" s="4" t="s">
        <v>3910</v>
      </c>
      <c r="P356" s="11"/>
    </row>
    <row r="357" customFormat="false" ht="15" hidden="false" customHeight="false" outlineLevel="0" collapsed="false">
      <c r="A357" s="4" t="s">
        <v>2805</v>
      </c>
      <c r="B357" s="7" t="n">
        <v>2022</v>
      </c>
      <c r="C357" s="4" t="s">
        <v>14</v>
      </c>
      <c r="D357" s="4" t="s">
        <v>3914</v>
      </c>
      <c r="E357" s="4" t="s">
        <v>21</v>
      </c>
      <c r="F357" s="4" t="s">
        <v>3908</v>
      </c>
      <c r="G357" s="4" t="s">
        <v>20</v>
      </c>
      <c r="H357" s="4" t="s">
        <v>3909</v>
      </c>
      <c r="I357" s="4" t="s">
        <v>20</v>
      </c>
      <c r="J357" s="4" t="s">
        <v>3904</v>
      </c>
      <c r="K357" s="4" t="s">
        <v>20</v>
      </c>
      <c r="L357" s="4" t="s">
        <v>3905</v>
      </c>
      <c r="M357" s="4" t="s">
        <v>21</v>
      </c>
      <c r="N357" s="7" t="n">
        <v>3</v>
      </c>
      <c r="O357" s="4" t="s">
        <v>3906</v>
      </c>
      <c r="P357" s="10" t="n">
        <v>1.9241</v>
      </c>
    </row>
    <row r="358" customFormat="false" ht="15" hidden="false" customHeight="false" outlineLevel="0" collapsed="false">
      <c r="A358" s="4" t="s">
        <v>2812</v>
      </c>
      <c r="B358" s="7" t="n">
        <v>2021</v>
      </c>
      <c r="C358" s="4" t="s">
        <v>17</v>
      </c>
      <c r="D358" s="4" t="s">
        <v>3901</v>
      </c>
      <c r="E358" s="4" t="s">
        <v>21</v>
      </c>
      <c r="F358" s="4" t="s">
        <v>3902</v>
      </c>
      <c r="G358" s="4" t="s">
        <v>20</v>
      </c>
      <c r="H358" s="4" t="s">
        <v>3903</v>
      </c>
      <c r="I358" s="4" t="s">
        <v>23</v>
      </c>
      <c r="J358" s="4" t="s">
        <v>3904</v>
      </c>
      <c r="K358" s="4" t="s">
        <v>23</v>
      </c>
      <c r="L358" s="4" t="s">
        <v>3905</v>
      </c>
      <c r="M358" s="4" t="s">
        <v>24</v>
      </c>
      <c r="N358" s="7" t="n">
        <v>3</v>
      </c>
      <c r="O358" s="4" t="s">
        <v>3906</v>
      </c>
      <c r="P358" s="10" t="n">
        <v>1.4206</v>
      </c>
    </row>
    <row r="359" customFormat="false" ht="15" hidden="false" customHeight="false" outlineLevel="0" collapsed="false">
      <c r="A359" s="4" t="s">
        <v>2819</v>
      </c>
      <c r="B359" s="7" t="n">
        <v>2021</v>
      </c>
      <c r="C359" s="4" t="s">
        <v>18</v>
      </c>
      <c r="D359" s="4" t="s">
        <v>3915</v>
      </c>
      <c r="E359" s="4" t="s">
        <v>21</v>
      </c>
      <c r="F359" s="4" t="s">
        <v>3916</v>
      </c>
      <c r="G359" s="4" t="s">
        <v>22</v>
      </c>
      <c r="H359" s="4" t="s">
        <v>3917</v>
      </c>
      <c r="I359" s="4" t="s">
        <v>23</v>
      </c>
      <c r="J359" s="4" t="s">
        <v>3904</v>
      </c>
      <c r="K359" s="4" t="s">
        <v>20</v>
      </c>
      <c r="L359" s="4" t="s">
        <v>3905</v>
      </c>
      <c r="M359" s="4" t="s">
        <v>20</v>
      </c>
      <c r="N359" s="7" t="n">
        <v>3</v>
      </c>
      <c r="O359" s="4" t="s">
        <v>3906</v>
      </c>
      <c r="P359" s="10" t="n">
        <v>1.7936</v>
      </c>
    </row>
    <row r="360" customFormat="false" ht="15" hidden="false" customHeight="false" outlineLevel="0" collapsed="false">
      <c r="A360" s="4" t="s">
        <v>2825</v>
      </c>
      <c r="B360" s="7" t="n">
        <v>2025</v>
      </c>
      <c r="C360" s="4" t="s">
        <v>15</v>
      </c>
      <c r="D360" s="4" t="s">
        <v>3907</v>
      </c>
      <c r="E360" s="4" t="s">
        <v>24</v>
      </c>
      <c r="F360" s="4" t="s">
        <v>3908</v>
      </c>
      <c r="G360" s="4" t="s">
        <v>20</v>
      </c>
      <c r="H360" s="4" t="s">
        <v>3909</v>
      </c>
      <c r="I360" s="4" t="s">
        <v>21</v>
      </c>
      <c r="J360" s="4" t="s">
        <v>3904</v>
      </c>
      <c r="K360" s="4" t="s">
        <v>20</v>
      </c>
      <c r="L360" s="4" t="s">
        <v>3905</v>
      </c>
      <c r="M360" s="4" t="s">
        <v>23</v>
      </c>
      <c r="N360" s="7" t="n">
        <v>2</v>
      </c>
      <c r="O360" s="4" t="s">
        <v>3910</v>
      </c>
      <c r="P360" s="11"/>
    </row>
    <row r="361" customFormat="false" ht="15" hidden="false" customHeight="false" outlineLevel="0" collapsed="false">
      <c r="A361" s="4" t="s">
        <v>2833</v>
      </c>
      <c r="B361" s="7" t="n">
        <v>2024</v>
      </c>
      <c r="C361" s="4" t="s">
        <v>18</v>
      </c>
      <c r="D361" s="4" t="s">
        <v>3915</v>
      </c>
      <c r="E361" s="4" t="s">
        <v>22</v>
      </c>
      <c r="F361" s="4" t="s">
        <v>3916</v>
      </c>
      <c r="G361" s="4" t="s">
        <v>21</v>
      </c>
      <c r="H361" s="4" t="s">
        <v>3917</v>
      </c>
      <c r="I361" s="4" t="s">
        <v>20</v>
      </c>
      <c r="J361" s="4" t="s">
        <v>3904</v>
      </c>
      <c r="K361" s="4" t="s">
        <v>22</v>
      </c>
      <c r="L361" s="4" t="s">
        <v>3905</v>
      </c>
      <c r="M361" s="4" t="s">
        <v>21</v>
      </c>
      <c r="N361" s="7" t="n">
        <v>3</v>
      </c>
      <c r="O361" s="4" t="s">
        <v>3906</v>
      </c>
      <c r="P361" s="10" t="n">
        <v>1.2419</v>
      </c>
    </row>
    <row r="362" customFormat="false" ht="15" hidden="false" customHeight="false" outlineLevel="0" collapsed="false">
      <c r="A362" s="4" t="s">
        <v>2841</v>
      </c>
      <c r="B362" s="7" t="n">
        <v>2023</v>
      </c>
      <c r="C362" s="4" t="s">
        <v>17</v>
      </c>
      <c r="D362" s="4" t="s">
        <v>3901</v>
      </c>
      <c r="E362" s="4" t="s">
        <v>21</v>
      </c>
      <c r="F362" s="4" t="s">
        <v>3902</v>
      </c>
      <c r="G362" s="4" t="s">
        <v>21</v>
      </c>
      <c r="H362" s="4" t="s">
        <v>3903</v>
      </c>
      <c r="I362" s="4" t="s">
        <v>20</v>
      </c>
      <c r="J362" s="4" t="s">
        <v>3904</v>
      </c>
      <c r="K362" s="4" t="s">
        <v>21</v>
      </c>
      <c r="L362" s="4" t="s">
        <v>3905</v>
      </c>
      <c r="M362" s="4" t="s">
        <v>22</v>
      </c>
      <c r="N362" s="7" t="n">
        <v>3</v>
      </c>
      <c r="O362" s="4" t="s">
        <v>3906</v>
      </c>
      <c r="P362" s="10" t="n">
        <v>-1.0956</v>
      </c>
    </row>
    <row r="363" customFormat="false" ht="15" hidden="false" customHeight="false" outlineLevel="0" collapsed="false">
      <c r="A363" s="4" t="s">
        <v>2848</v>
      </c>
      <c r="B363" s="7" t="n">
        <v>2021</v>
      </c>
      <c r="C363" s="4" t="s">
        <v>14</v>
      </c>
      <c r="D363" s="4" t="s">
        <v>3914</v>
      </c>
      <c r="E363" s="4" t="s">
        <v>20</v>
      </c>
      <c r="F363" s="4" t="s">
        <v>3908</v>
      </c>
      <c r="G363" s="4" t="s">
        <v>22</v>
      </c>
      <c r="H363" s="4" t="s">
        <v>3909</v>
      </c>
      <c r="I363" s="4" t="s">
        <v>21</v>
      </c>
      <c r="J363" s="4" t="s">
        <v>3904</v>
      </c>
      <c r="K363" s="4" t="s">
        <v>24</v>
      </c>
      <c r="L363" s="4" t="s">
        <v>3905</v>
      </c>
      <c r="M363" s="4" t="s">
        <v>23</v>
      </c>
      <c r="N363" s="7" t="n">
        <v>3</v>
      </c>
      <c r="O363" s="4" t="s">
        <v>3906</v>
      </c>
      <c r="P363" s="10" t="n">
        <v>-0.4066</v>
      </c>
    </row>
    <row r="364" customFormat="false" ht="15" hidden="false" customHeight="false" outlineLevel="0" collapsed="false">
      <c r="A364" s="4" t="s">
        <v>2856</v>
      </c>
      <c r="B364" s="7" t="n">
        <v>2024</v>
      </c>
      <c r="C364" s="4" t="s">
        <v>16</v>
      </c>
      <c r="D364" s="4" t="s">
        <v>3911</v>
      </c>
      <c r="E364" s="4" t="s">
        <v>20</v>
      </c>
      <c r="F364" s="4" t="s">
        <v>3912</v>
      </c>
      <c r="G364" s="4" t="s">
        <v>20</v>
      </c>
      <c r="H364" s="4" t="s">
        <v>3913</v>
      </c>
      <c r="I364" s="4" t="s">
        <v>21</v>
      </c>
      <c r="J364" s="4" t="s">
        <v>3904</v>
      </c>
      <c r="K364" s="4" t="s">
        <v>21</v>
      </c>
      <c r="L364" s="4" t="s">
        <v>3905</v>
      </c>
      <c r="M364" s="4" t="s">
        <v>20</v>
      </c>
      <c r="N364" s="7" t="n">
        <v>3</v>
      </c>
      <c r="O364" s="4" t="s">
        <v>3906</v>
      </c>
      <c r="P364" s="10" t="n">
        <v>2.1673</v>
      </c>
    </row>
    <row r="365" customFormat="false" ht="15" hidden="false" customHeight="false" outlineLevel="0" collapsed="false">
      <c r="A365" s="4" t="s">
        <v>2864</v>
      </c>
      <c r="B365" s="7" t="n">
        <v>2025</v>
      </c>
      <c r="C365" s="4" t="s">
        <v>17</v>
      </c>
      <c r="D365" s="4" t="s">
        <v>3901</v>
      </c>
      <c r="E365" s="4" t="s">
        <v>21</v>
      </c>
      <c r="F365" s="4" t="s">
        <v>3902</v>
      </c>
      <c r="G365" s="4" t="s">
        <v>22</v>
      </c>
      <c r="H365" s="4" t="s">
        <v>3903</v>
      </c>
      <c r="I365" s="4" t="s">
        <v>21</v>
      </c>
      <c r="J365" s="4" t="s">
        <v>3904</v>
      </c>
      <c r="K365" s="4" t="s">
        <v>21</v>
      </c>
      <c r="L365" s="4" t="s">
        <v>3905</v>
      </c>
      <c r="M365" s="4" t="s">
        <v>21</v>
      </c>
      <c r="N365" s="7" t="n">
        <v>3</v>
      </c>
      <c r="O365" s="4" t="s">
        <v>3906</v>
      </c>
      <c r="P365" s="10" t="n">
        <v>-1.1216</v>
      </c>
    </row>
    <row r="366" customFormat="false" ht="15" hidden="false" customHeight="false" outlineLevel="0" collapsed="false">
      <c r="A366" s="4" t="s">
        <v>2872</v>
      </c>
      <c r="B366" s="7" t="n">
        <v>2025</v>
      </c>
      <c r="C366" s="4" t="s">
        <v>17</v>
      </c>
      <c r="D366" s="4" t="s">
        <v>3901</v>
      </c>
      <c r="E366" s="4" t="s">
        <v>22</v>
      </c>
      <c r="F366" s="4" t="s">
        <v>3902</v>
      </c>
      <c r="G366" s="4" t="s">
        <v>23</v>
      </c>
      <c r="H366" s="4" t="s">
        <v>3903</v>
      </c>
      <c r="I366" s="4" t="s">
        <v>23</v>
      </c>
      <c r="J366" s="4" t="s">
        <v>3904</v>
      </c>
      <c r="K366" s="4" t="s">
        <v>21</v>
      </c>
      <c r="L366" s="4" t="s">
        <v>3905</v>
      </c>
      <c r="M366" s="4" t="s">
        <v>20</v>
      </c>
      <c r="N366" s="7" t="n">
        <v>3</v>
      </c>
      <c r="O366" s="4" t="s">
        <v>3906</v>
      </c>
      <c r="P366" s="10" t="n">
        <v>-1.0746</v>
      </c>
    </row>
    <row r="367" customFormat="false" ht="15" hidden="false" customHeight="false" outlineLevel="0" collapsed="false">
      <c r="A367" s="4" t="s">
        <v>2880</v>
      </c>
      <c r="B367" s="7" t="n">
        <v>2025</v>
      </c>
      <c r="C367" s="4" t="s">
        <v>17</v>
      </c>
      <c r="D367" s="4" t="s">
        <v>3901</v>
      </c>
      <c r="E367" s="4" t="s">
        <v>22</v>
      </c>
      <c r="F367" s="4" t="s">
        <v>3902</v>
      </c>
      <c r="G367" s="4" t="s">
        <v>21</v>
      </c>
      <c r="H367" s="4" t="s">
        <v>3903</v>
      </c>
      <c r="I367" s="4" t="s">
        <v>24</v>
      </c>
      <c r="J367" s="4" t="s">
        <v>3904</v>
      </c>
      <c r="K367" s="4" t="s">
        <v>20</v>
      </c>
      <c r="L367" s="4" t="s">
        <v>3905</v>
      </c>
      <c r="M367" s="4" t="s">
        <v>23</v>
      </c>
      <c r="N367" s="7" t="n">
        <v>2</v>
      </c>
      <c r="O367" s="4" t="s">
        <v>3910</v>
      </c>
      <c r="P367" s="11"/>
    </row>
    <row r="368" customFormat="false" ht="15" hidden="false" customHeight="false" outlineLevel="0" collapsed="false">
      <c r="A368" s="4" t="s">
        <v>2888</v>
      </c>
      <c r="B368" s="7" t="n">
        <v>2024</v>
      </c>
      <c r="C368" s="4" t="s">
        <v>15</v>
      </c>
      <c r="D368" s="4" t="s">
        <v>3907</v>
      </c>
      <c r="E368" s="4" t="s">
        <v>21</v>
      </c>
      <c r="F368" s="4" t="s">
        <v>3908</v>
      </c>
      <c r="G368" s="4" t="s">
        <v>21</v>
      </c>
      <c r="H368" s="4" t="s">
        <v>3909</v>
      </c>
      <c r="I368" s="4" t="s">
        <v>22</v>
      </c>
      <c r="J368" s="4" t="s">
        <v>3904</v>
      </c>
      <c r="K368" s="4" t="s">
        <v>20</v>
      </c>
      <c r="L368" s="4" t="s">
        <v>3905</v>
      </c>
      <c r="M368" s="4" t="s">
        <v>21</v>
      </c>
      <c r="N368" s="7" t="n">
        <v>3</v>
      </c>
      <c r="O368" s="4" t="s">
        <v>3906</v>
      </c>
      <c r="P368" s="10" t="n">
        <v>-0.9188</v>
      </c>
    </row>
    <row r="369" customFormat="false" ht="15" hidden="false" customHeight="false" outlineLevel="0" collapsed="false">
      <c r="A369" s="4" t="s">
        <v>2895</v>
      </c>
      <c r="B369" s="7" t="n">
        <v>2025</v>
      </c>
      <c r="C369" s="4" t="s">
        <v>16</v>
      </c>
      <c r="D369" s="4" t="s">
        <v>3911</v>
      </c>
      <c r="E369" s="4" t="s">
        <v>23</v>
      </c>
      <c r="F369" s="4" t="s">
        <v>3912</v>
      </c>
      <c r="G369" s="4" t="s">
        <v>24</v>
      </c>
      <c r="H369" s="4" t="s">
        <v>3913</v>
      </c>
      <c r="I369" s="4" t="s">
        <v>21</v>
      </c>
      <c r="J369" s="4" t="s">
        <v>3904</v>
      </c>
      <c r="K369" s="4" t="s">
        <v>22</v>
      </c>
      <c r="L369" s="4" t="s">
        <v>3905</v>
      </c>
      <c r="M369" s="4" t="s">
        <v>24</v>
      </c>
      <c r="N369" s="7" t="n">
        <v>2</v>
      </c>
      <c r="O369" s="4" t="s">
        <v>3910</v>
      </c>
      <c r="P369" s="11"/>
    </row>
    <row r="370" customFormat="false" ht="15" hidden="false" customHeight="false" outlineLevel="0" collapsed="false">
      <c r="A370" s="4" t="s">
        <v>2903</v>
      </c>
      <c r="B370" s="7" t="n">
        <v>2022</v>
      </c>
      <c r="C370" s="4" t="s">
        <v>15</v>
      </c>
      <c r="D370" s="4" t="s">
        <v>3907</v>
      </c>
      <c r="E370" s="4" t="s">
        <v>23</v>
      </c>
      <c r="F370" s="4" t="s">
        <v>3908</v>
      </c>
      <c r="G370" s="4" t="s">
        <v>22</v>
      </c>
      <c r="H370" s="4" t="s">
        <v>3909</v>
      </c>
      <c r="I370" s="4" t="s">
        <v>22</v>
      </c>
      <c r="J370" s="4" t="s">
        <v>3904</v>
      </c>
      <c r="K370" s="4" t="s">
        <v>20</v>
      </c>
      <c r="L370" s="4" t="s">
        <v>3905</v>
      </c>
      <c r="M370" s="4" t="s">
        <v>20</v>
      </c>
      <c r="N370" s="7" t="n">
        <v>3</v>
      </c>
      <c r="O370" s="4" t="s">
        <v>3906</v>
      </c>
      <c r="P370" s="10" t="n">
        <v>-0.4707</v>
      </c>
    </row>
    <row r="371" customFormat="false" ht="15" hidden="false" customHeight="false" outlineLevel="0" collapsed="false">
      <c r="A371" s="4" t="s">
        <v>2910</v>
      </c>
      <c r="B371" s="7" t="n">
        <v>2024</v>
      </c>
      <c r="C371" s="4" t="s">
        <v>15</v>
      </c>
      <c r="D371" s="4" t="s">
        <v>3907</v>
      </c>
      <c r="E371" s="4" t="s">
        <v>22</v>
      </c>
      <c r="F371" s="4" t="s">
        <v>3908</v>
      </c>
      <c r="G371" s="4" t="s">
        <v>20</v>
      </c>
      <c r="H371" s="4" t="s">
        <v>3909</v>
      </c>
      <c r="I371" s="4" t="s">
        <v>23</v>
      </c>
      <c r="J371" s="4" t="s">
        <v>3904</v>
      </c>
      <c r="K371" s="4" t="s">
        <v>22</v>
      </c>
      <c r="L371" s="4" t="s">
        <v>3905</v>
      </c>
      <c r="M371" s="4" t="s">
        <v>23</v>
      </c>
      <c r="N371" s="7" t="n">
        <v>3</v>
      </c>
      <c r="O371" s="4" t="s">
        <v>3906</v>
      </c>
      <c r="P371" s="10" t="n">
        <v>1.5685</v>
      </c>
    </row>
    <row r="372" customFormat="false" ht="15" hidden="false" customHeight="false" outlineLevel="0" collapsed="false">
      <c r="A372" s="4" t="s">
        <v>2918</v>
      </c>
      <c r="B372" s="7" t="n">
        <v>2021</v>
      </c>
      <c r="C372" s="4" t="s">
        <v>14</v>
      </c>
      <c r="D372" s="4" t="s">
        <v>3914</v>
      </c>
      <c r="E372" s="4" t="s">
        <v>23</v>
      </c>
      <c r="F372" s="4" t="s">
        <v>3908</v>
      </c>
      <c r="G372" s="4" t="s">
        <v>22</v>
      </c>
      <c r="H372" s="4" t="s">
        <v>3909</v>
      </c>
      <c r="I372" s="4" t="s">
        <v>21</v>
      </c>
      <c r="J372" s="4" t="s">
        <v>3904</v>
      </c>
      <c r="K372" s="4" t="s">
        <v>22</v>
      </c>
      <c r="L372" s="4" t="s">
        <v>3905</v>
      </c>
      <c r="M372" s="4" t="s">
        <v>20</v>
      </c>
      <c r="N372" s="7" t="n">
        <v>3</v>
      </c>
      <c r="O372" s="4" t="s">
        <v>3906</v>
      </c>
      <c r="P372" s="10" t="n">
        <v>0.2124</v>
      </c>
    </row>
    <row r="373" customFormat="false" ht="15" hidden="false" customHeight="false" outlineLevel="0" collapsed="false">
      <c r="A373" s="4" t="s">
        <v>2925</v>
      </c>
      <c r="B373" s="7" t="n">
        <v>2024</v>
      </c>
      <c r="C373" s="4" t="s">
        <v>15</v>
      </c>
      <c r="D373" s="4" t="s">
        <v>3907</v>
      </c>
      <c r="E373" s="4" t="s">
        <v>20</v>
      </c>
      <c r="F373" s="4" t="s">
        <v>3908</v>
      </c>
      <c r="G373" s="4" t="s">
        <v>20</v>
      </c>
      <c r="H373" s="4" t="s">
        <v>3909</v>
      </c>
      <c r="I373" s="4" t="s">
        <v>20</v>
      </c>
      <c r="J373" s="4" t="s">
        <v>3904</v>
      </c>
      <c r="K373" s="4" t="s">
        <v>21</v>
      </c>
      <c r="L373" s="4" t="s">
        <v>3905</v>
      </c>
      <c r="M373" s="4" t="s">
        <v>24</v>
      </c>
      <c r="N373" s="7" t="n">
        <v>3</v>
      </c>
      <c r="O373" s="4" t="s">
        <v>3906</v>
      </c>
      <c r="P373" s="10" t="n">
        <v>-1.1493</v>
      </c>
    </row>
    <row r="374" customFormat="false" ht="15" hidden="false" customHeight="false" outlineLevel="0" collapsed="false">
      <c r="A374" s="4" t="s">
        <v>2932</v>
      </c>
      <c r="B374" s="7" t="n">
        <v>2022</v>
      </c>
      <c r="C374" s="4" t="s">
        <v>14</v>
      </c>
      <c r="D374" s="4" t="s">
        <v>3914</v>
      </c>
      <c r="E374" s="4" t="s">
        <v>20</v>
      </c>
      <c r="F374" s="4" t="s">
        <v>3908</v>
      </c>
      <c r="G374" s="4" t="s">
        <v>22</v>
      </c>
      <c r="H374" s="4" t="s">
        <v>3909</v>
      </c>
      <c r="I374" s="4" t="s">
        <v>22</v>
      </c>
      <c r="J374" s="4" t="s">
        <v>3904</v>
      </c>
      <c r="K374" s="4" t="s">
        <v>21</v>
      </c>
      <c r="L374" s="4" t="s">
        <v>3905</v>
      </c>
      <c r="M374" s="4" t="s">
        <v>21</v>
      </c>
      <c r="N374" s="7" t="n">
        <v>3</v>
      </c>
      <c r="O374" s="4" t="s">
        <v>3906</v>
      </c>
      <c r="P374" s="10" t="n">
        <v>-0.5378</v>
      </c>
    </row>
    <row r="375" customFormat="false" ht="15" hidden="false" customHeight="false" outlineLevel="0" collapsed="false">
      <c r="A375" s="4" t="s">
        <v>2939</v>
      </c>
      <c r="B375" s="7" t="n">
        <v>2021</v>
      </c>
      <c r="C375" s="4" t="s">
        <v>17</v>
      </c>
      <c r="D375" s="4" t="s">
        <v>3901</v>
      </c>
      <c r="E375" s="4" t="s">
        <v>20</v>
      </c>
      <c r="F375" s="4" t="s">
        <v>3902</v>
      </c>
      <c r="G375" s="4" t="s">
        <v>23</v>
      </c>
      <c r="H375" s="4" t="s">
        <v>3903</v>
      </c>
      <c r="I375" s="4" t="s">
        <v>22</v>
      </c>
      <c r="J375" s="4" t="s">
        <v>3904</v>
      </c>
      <c r="K375" s="4" t="s">
        <v>21</v>
      </c>
      <c r="L375" s="4" t="s">
        <v>3905</v>
      </c>
      <c r="M375" s="4" t="s">
        <v>21</v>
      </c>
      <c r="N375" s="7" t="n">
        <v>3</v>
      </c>
      <c r="O375" s="4" t="s">
        <v>3906</v>
      </c>
      <c r="P375" s="10" t="n">
        <v>-1.3415</v>
      </c>
    </row>
    <row r="376" customFormat="false" ht="15" hidden="false" customHeight="false" outlineLevel="0" collapsed="false">
      <c r="A376" s="4" t="s">
        <v>2946</v>
      </c>
      <c r="B376" s="7" t="n">
        <v>2023</v>
      </c>
      <c r="C376" s="4" t="s">
        <v>18</v>
      </c>
      <c r="D376" s="4" t="s">
        <v>3915</v>
      </c>
      <c r="E376" s="4" t="s">
        <v>22</v>
      </c>
      <c r="F376" s="4" t="s">
        <v>3916</v>
      </c>
      <c r="G376" s="4" t="s">
        <v>22</v>
      </c>
      <c r="H376" s="4" t="s">
        <v>3917</v>
      </c>
      <c r="I376" s="4" t="s">
        <v>22</v>
      </c>
      <c r="J376" s="4" t="s">
        <v>3904</v>
      </c>
      <c r="K376" s="4" t="s">
        <v>22</v>
      </c>
      <c r="L376" s="4" t="s">
        <v>3905</v>
      </c>
      <c r="M376" s="4" t="s">
        <v>23</v>
      </c>
      <c r="N376" s="7" t="n">
        <v>3</v>
      </c>
      <c r="O376" s="4" t="s">
        <v>3906</v>
      </c>
      <c r="P376" s="10" t="n">
        <v>-1.0928</v>
      </c>
    </row>
    <row r="377" customFormat="false" ht="15" hidden="false" customHeight="false" outlineLevel="0" collapsed="false">
      <c r="A377" s="4" t="s">
        <v>2953</v>
      </c>
      <c r="B377" s="7" t="n">
        <v>2023</v>
      </c>
      <c r="C377" s="4" t="s">
        <v>15</v>
      </c>
      <c r="D377" s="4" t="s">
        <v>3907</v>
      </c>
      <c r="E377" s="4" t="s">
        <v>21</v>
      </c>
      <c r="F377" s="4" t="s">
        <v>3908</v>
      </c>
      <c r="G377" s="4" t="s">
        <v>23</v>
      </c>
      <c r="H377" s="4" t="s">
        <v>3909</v>
      </c>
      <c r="I377" s="4" t="s">
        <v>20</v>
      </c>
      <c r="J377" s="4" t="s">
        <v>3904</v>
      </c>
      <c r="K377" s="4" t="s">
        <v>20</v>
      </c>
      <c r="L377" s="4" t="s">
        <v>3905</v>
      </c>
      <c r="M377" s="4" t="s">
        <v>22</v>
      </c>
      <c r="N377" s="7" t="n">
        <v>3</v>
      </c>
      <c r="O377" s="4" t="s">
        <v>3906</v>
      </c>
      <c r="P377" s="10" t="n">
        <v>0.5889</v>
      </c>
    </row>
    <row r="378" customFormat="false" ht="15" hidden="false" customHeight="false" outlineLevel="0" collapsed="false">
      <c r="A378" s="4" t="s">
        <v>2959</v>
      </c>
      <c r="B378" s="7" t="n">
        <v>2022</v>
      </c>
      <c r="C378" s="4" t="s">
        <v>16</v>
      </c>
      <c r="D378" s="4" t="s">
        <v>3911</v>
      </c>
      <c r="E378" s="4" t="s">
        <v>24</v>
      </c>
      <c r="F378" s="4" t="s">
        <v>3912</v>
      </c>
      <c r="G378" s="4" t="s">
        <v>21</v>
      </c>
      <c r="H378" s="4" t="s">
        <v>3913</v>
      </c>
      <c r="I378" s="4" t="s">
        <v>22</v>
      </c>
      <c r="J378" s="4" t="s">
        <v>3904</v>
      </c>
      <c r="K378" s="4" t="s">
        <v>24</v>
      </c>
      <c r="L378" s="4" t="s">
        <v>3905</v>
      </c>
      <c r="M378" s="4" t="s">
        <v>22</v>
      </c>
      <c r="N378" s="7" t="n">
        <v>2</v>
      </c>
      <c r="O378" s="4" t="s">
        <v>3910</v>
      </c>
      <c r="P378" s="11"/>
    </row>
    <row r="379" customFormat="false" ht="15" hidden="false" customHeight="false" outlineLevel="0" collapsed="false">
      <c r="A379" s="4" t="s">
        <v>2967</v>
      </c>
      <c r="B379" s="7" t="n">
        <v>2021</v>
      </c>
      <c r="C379" s="4" t="s">
        <v>17</v>
      </c>
      <c r="D379" s="4" t="s">
        <v>3901</v>
      </c>
      <c r="E379" s="4" t="s">
        <v>24</v>
      </c>
      <c r="F379" s="4" t="s">
        <v>3902</v>
      </c>
      <c r="G379" s="4" t="s">
        <v>21</v>
      </c>
      <c r="H379" s="4" t="s">
        <v>3903</v>
      </c>
      <c r="I379" s="4" t="s">
        <v>21</v>
      </c>
      <c r="J379" s="4" t="s">
        <v>3904</v>
      </c>
      <c r="K379" s="4" t="s">
        <v>23</v>
      </c>
      <c r="L379" s="4" t="s">
        <v>3905</v>
      </c>
      <c r="M379" s="4" t="s">
        <v>22</v>
      </c>
      <c r="N379" s="7" t="n">
        <v>2</v>
      </c>
      <c r="O379" s="4" t="s">
        <v>3910</v>
      </c>
      <c r="P379" s="11"/>
    </row>
    <row r="380" customFormat="false" ht="15" hidden="false" customHeight="false" outlineLevel="0" collapsed="false">
      <c r="A380" s="4" t="s">
        <v>2975</v>
      </c>
      <c r="B380" s="7" t="n">
        <v>2024</v>
      </c>
      <c r="C380" s="4" t="s">
        <v>14</v>
      </c>
      <c r="D380" s="4" t="s">
        <v>3914</v>
      </c>
      <c r="E380" s="4" t="s">
        <v>23</v>
      </c>
      <c r="F380" s="4" t="s">
        <v>3908</v>
      </c>
      <c r="G380" s="4" t="s">
        <v>21</v>
      </c>
      <c r="H380" s="4" t="s">
        <v>3909</v>
      </c>
      <c r="I380" s="4" t="s">
        <v>21</v>
      </c>
      <c r="J380" s="4" t="s">
        <v>3904</v>
      </c>
      <c r="K380" s="4" t="s">
        <v>23</v>
      </c>
      <c r="L380" s="4" t="s">
        <v>3905</v>
      </c>
      <c r="M380" s="4" t="s">
        <v>22</v>
      </c>
      <c r="N380" s="7" t="n">
        <v>3</v>
      </c>
      <c r="O380" s="4" t="s">
        <v>3906</v>
      </c>
      <c r="P380" s="10" t="n">
        <v>1.9078</v>
      </c>
    </row>
    <row r="381" customFormat="false" ht="15" hidden="false" customHeight="false" outlineLevel="0" collapsed="false">
      <c r="A381" s="4" t="s">
        <v>2983</v>
      </c>
      <c r="B381" s="7" t="n">
        <v>2025</v>
      </c>
      <c r="C381" s="4" t="s">
        <v>16</v>
      </c>
      <c r="D381" s="4" t="s">
        <v>3911</v>
      </c>
      <c r="E381" s="4" t="s">
        <v>20</v>
      </c>
      <c r="F381" s="4" t="s">
        <v>3912</v>
      </c>
      <c r="G381" s="4" t="s">
        <v>20</v>
      </c>
      <c r="H381" s="4" t="s">
        <v>3913</v>
      </c>
      <c r="I381" s="4" t="s">
        <v>22</v>
      </c>
      <c r="J381" s="4" t="s">
        <v>3904</v>
      </c>
      <c r="K381" s="4" t="s">
        <v>21</v>
      </c>
      <c r="L381" s="4" t="s">
        <v>3905</v>
      </c>
      <c r="M381" s="4" t="s">
        <v>20</v>
      </c>
      <c r="N381" s="7" t="n">
        <v>3</v>
      </c>
      <c r="O381" s="4" t="s">
        <v>3906</v>
      </c>
      <c r="P381" s="10" t="n">
        <v>-0.4882</v>
      </c>
    </row>
    <row r="382" customFormat="false" ht="15" hidden="false" customHeight="false" outlineLevel="0" collapsed="false">
      <c r="A382" s="4" t="s">
        <v>2991</v>
      </c>
      <c r="B382" s="7" t="n">
        <v>2024</v>
      </c>
      <c r="C382" s="4" t="s">
        <v>17</v>
      </c>
      <c r="D382" s="4" t="s">
        <v>3901</v>
      </c>
      <c r="E382" s="4" t="s">
        <v>22</v>
      </c>
      <c r="F382" s="4" t="s">
        <v>3902</v>
      </c>
      <c r="G382" s="4" t="s">
        <v>24</v>
      </c>
      <c r="H382" s="4" t="s">
        <v>3903</v>
      </c>
      <c r="I382" s="4" t="s">
        <v>22</v>
      </c>
      <c r="J382" s="4" t="s">
        <v>3904</v>
      </c>
      <c r="K382" s="4" t="s">
        <v>23</v>
      </c>
      <c r="L382" s="4" t="s">
        <v>3905</v>
      </c>
      <c r="M382" s="4" t="s">
        <v>23</v>
      </c>
      <c r="N382" s="7" t="n">
        <v>2</v>
      </c>
      <c r="O382" s="4" t="s">
        <v>3910</v>
      </c>
      <c r="P382" s="11"/>
    </row>
    <row r="383" customFormat="false" ht="15" hidden="false" customHeight="false" outlineLevel="0" collapsed="false">
      <c r="A383" s="4" t="s">
        <v>2999</v>
      </c>
      <c r="B383" s="7" t="n">
        <v>2022</v>
      </c>
      <c r="C383" s="4" t="s">
        <v>15</v>
      </c>
      <c r="D383" s="4" t="s">
        <v>3907</v>
      </c>
      <c r="E383" s="4" t="s">
        <v>21</v>
      </c>
      <c r="F383" s="4" t="s">
        <v>3908</v>
      </c>
      <c r="G383" s="4" t="s">
        <v>23</v>
      </c>
      <c r="H383" s="4" t="s">
        <v>3909</v>
      </c>
      <c r="I383" s="4" t="s">
        <v>23</v>
      </c>
      <c r="J383" s="4" t="s">
        <v>3904</v>
      </c>
      <c r="K383" s="4" t="s">
        <v>20</v>
      </c>
      <c r="L383" s="4" t="s">
        <v>3905</v>
      </c>
      <c r="M383" s="4" t="s">
        <v>22</v>
      </c>
      <c r="N383" s="7" t="n">
        <v>3</v>
      </c>
      <c r="O383" s="4" t="s">
        <v>3906</v>
      </c>
      <c r="P383" s="10" t="n">
        <v>-0.7415</v>
      </c>
    </row>
    <row r="384" customFormat="false" ht="15" hidden="false" customHeight="false" outlineLevel="0" collapsed="false">
      <c r="A384" s="4" t="s">
        <v>3006</v>
      </c>
      <c r="B384" s="7" t="n">
        <v>2024</v>
      </c>
      <c r="C384" s="4" t="s">
        <v>16</v>
      </c>
      <c r="D384" s="4" t="s">
        <v>3911</v>
      </c>
      <c r="E384" s="4" t="s">
        <v>23</v>
      </c>
      <c r="F384" s="4" t="s">
        <v>3912</v>
      </c>
      <c r="G384" s="4" t="s">
        <v>20</v>
      </c>
      <c r="H384" s="4" t="s">
        <v>3913</v>
      </c>
      <c r="I384" s="4" t="s">
        <v>22</v>
      </c>
      <c r="J384" s="4" t="s">
        <v>3904</v>
      </c>
      <c r="K384" s="4" t="s">
        <v>23</v>
      </c>
      <c r="L384" s="4" t="s">
        <v>3905</v>
      </c>
      <c r="M384" s="4" t="s">
        <v>24</v>
      </c>
      <c r="N384" s="7" t="n">
        <v>3</v>
      </c>
      <c r="O384" s="4" t="s">
        <v>3906</v>
      </c>
      <c r="P384" s="10" t="n">
        <v>2.2141</v>
      </c>
    </row>
    <row r="385" customFormat="false" ht="15" hidden="false" customHeight="false" outlineLevel="0" collapsed="false">
      <c r="A385" s="4" t="s">
        <v>3014</v>
      </c>
      <c r="B385" s="7" t="n">
        <v>2023</v>
      </c>
      <c r="C385" s="4" t="s">
        <v>15</v>
      </c>
      <c r="D385" s="4" t="s">
        <v>3907</v>
      </c>
      <c r="E385" s="4" t="s">
        <v>24</v>
      </c>
      <c r="F385" s="4" t="s">
        <v>3908</v>
      </c>
      <c r="G385" s="4" t="s">
        <v>24</v>
      </c>
      <c r="H385" s="4" t="s">
        <v>3909</v>
      </c>
      <c r="I385" s="4" t="s">
        <v>23</v>
      </c>
      <c r="J385" s="4" t="s">
        <v>3904</v>
      </c>
      <c r="K385" s="4" t="s">
        <v>24</v>
      </c>
      <c r="L385" s="4" t="s">
        <v>3905</v>
      </c>
      <c r="M385" s="4" t="s">
        <v>22</v>
      </c>
      <c r="N385" s="7" t="n">
        <v>1</v>
      </c>
      <c r="O385" s="4" t="s">
        <v>3910</v>
      </c>
      <c r="P385" s="11"/>
    </row>
    <row r="386" customFormat="false" ht="15" hidden="false" customHeight="false" outlineLevel="0" collapsed="false">
      <c r="A386" s="4" t="s">
        <v>3021</v>
      </c>
      <c r="B386" s="7" t="n">
        <v>2024</v>
      </c>
      <c r="C386" s="4" t="s">
        <v>14</v>
      </c>
      <c r="D386" s="4" t="s">
        <v>3914</v>
      </c>
      <c r="E386" s="4" t="s">
        <v>22</v>
      </c>
      <c r="F386" s="4" t="s">
        <v>3908</v>
      </c>
      <c r="G386" s="4" t="s">
        <v>22</v>
      </c>
      <c r="H386" s="4" t="s">
        <v>3909</v>
      </c>
      <c r="I386" s="4" t="s">
        <v>21</v>
      </c>
      <c r="J386" s="4" t="s">
        <v>3904</v>
      </c>
      <c r="K386" s="4" t="s">
        <v>22</v>
      </c>
      <c r="L386" s="4" t="s">
        <v>3905</v>
      </c>
      <c r="M386" s="4" t="s">
        <v>22</v>
      </c>
      <c r="N386" s="7" t="n">
        <v>3</v>
      </c>
      <c r="O386" s="4" t="s">
        <v>3906</v>
      </c>
      <c r="P386" s="10" t="n">
        <v>-0.9592</v>
      </c>
    </row>
    <row r="387" customFormat="false" ht="15" hidden="false" customHeight="false" outlineLevel="0" collapsed="false">
      <c r="A387" s="4" t="s">
        <v>3029</v>
      </c>
      <c r="B387" s="7" t="n">
        <v>2022</v>
      </c>
      <c r="C387" s="4" t="s">
        <v>18</v>
      </c>
      <c r="D387" s="4" t="s">
        <v>3915</v>
      </c>
      <c r="E387" s="4" t="s">
        <v>20</v>
      </c>
      <c r="F387" s="4" t="s">
        <v>3916</v>
      </c>
      <c r="G387" s="4" t="s">
        <v>21</v>
      </c>
      <c r="H387" s="4" t="s">
        <v>3917</v>
      </c>
      <c r="I387" s="4" t="s">
        <v>21</v>
      </c>
      <c r="J387" s="4" t="s">
        <v>3904</v>
      </c>
      <c r="K387" s="4" t="s">
        <v>20</v>
      </c>
      <c r="L387" s="4" t="s">
        <v>3905</v>
      </c>
      <c r="M387" s="4" t="s">
        <v>22</v>
      </c>
      <c r="N387" s="7" t="n">
        <v>3</v>
      </c>
      <c r="O387" s="4" t="s">
        <v>3906</v>
      </c>
      <c r="P387" s="10" t="n">
        <v>-1.3118</v>
      </c>
    </row>
    <row r="388" customFormat="false" ht="15" hidden="false" customHeight="false" outlineLevel="0" collapsed="false">
      <c r="A388" s="4" t="s">
        <v>3037</v>
      </c>
      <c r="B388" s="7" t="n">
        <v>2022</v>
      </c>
      <c r="C388" s="4" t="s">
        <v>18</v>
      </c>
      <c r="D388" s="4" t="s">
        <v>3915</v>
      </c>
      <c r="E388" s="4" t="s">
        <v>21</v>
      </c>
      <c r="F388" s="4" t="s">
        <v>3916</v>
      </c>
      <c r="G388" s="4" t="s">
        <v>20</v>
      </c>
      <c r="H388" s="4" t="s">
        <v>3917</v>
      </c>
      <c r="I388" s="4" t="s">
        <v>21</v>
      </c>
      <c r="J388" s="4" t="s">
        <v>3904</v>
      </c>
      <c r="K388" s="4" t="s">
        <v>20</v>
      </c>
      <c r="L388" s="4" t="s">
        <v>3905</v>
      </c>
      <c r="M388" s="4" t="s">
        <v>21</v>
      </c>
      <c r="N388" s="7" t="n">
        <v>3</v>
      </c>
      <c r="O388" s="4" t="s">
        <v>3906</v>
      </c>
      <c r="P388" s="10" t="n">
        <v>0.3502</v>
      </c>
    </row>
    <row r="389" customFormat="false" ht="15" hidden="false" customHeight="false" outlineLevel="0" collapsed="false">
      <c r="A389" s="4" t="s">
        <v>3044</v>
      </c>
      <c r="B389" s="7" t="n">
        <v>2025</v>
      </c>
      <c r="C389" s="4" t="s">
        <v>14</v>
      </c>
      <c r="D389" s="4" t="s">
        <v>3914</v>
      </c>
      <c r="E389" s="4" t="s">
        <v>22</v>
      </c>
      <c r="F389" s="4" t="s">
        <v>3908</v>
      </c>
      <c r="G389" s="4" t="s">
        <v>21</v>
      </c>
      <c r="H389" s="4" t="s">
        <v>3909</v>
      </c>
      <c r="I389" s="4" t="s">
        <v>20</v>
      </c>
      <c r="J389" s="4" t="s">
        <v>3904</v>
      </c>
      <c r="K389" s="4" t="s">
        <v>21</v>
      </c>
      <c r="L389" s="4" t="s">
        <v>3905</v>
      </c>
      <c r="M389" s="4" t="s">
        <v>24</v>
      </c>
      <c r="N389" s="7" t="n">
        <v>3</v>
      </c>
      <c r="O389" s="4" t="s">
        <v>3906</v>
      </c>
      <c r="P389" s="10" t="n">
        <v>1.1693</v>
      </c>
    </row>
    <row r="390" customFormat="false" ht="15" hidden="false" customHeight="false" outlineLevel="0" collapsed="false">
      <c r="A390" s="4" t="s">
        <v>3052</v>
      </c>
      <c r="B390" s="7" t="n">
        <v>2024</v>
      </c>
      <c r="C390" s="4" t="s">
        <v>17</v>
      </c>
      <c r="D390" s="4" t="s">
        <v>3901</v>
      </c>
      <c r="E390" s="4" t="s">
        <v>21</v>
      </c>
      <c r="F390" s="4" t="s">
        <v>3902</v>
      </c>
      <c r="G390" s="4" t="s">
        <v>22</v>
      </c>
      <c r="H390" s="4" t="s">
        <v>3903</v>
      </c>
      <c r="I390" s="4" t="s">
        <v>21</v>
      </c>
      <c r="J390" s="4" t="s">
        <v>3904</v>
      </c>
      <c r="K390" s="4" t="s">
        <v>20</v>
      </c>
      <c r="L390" s="4" t="s">
        <v>3905</v>
      </c>
      <c r="M390" s="4" t="s">
        <v>23</v>
      </c>
      <c r="N390" s="7" t="n">
        <v>3</v>
      </c>
      <c r="O390" s="4" t="s">
        <v>3906</v>
      </c>
      <c r="P390" s="10" t="n">
        <v>1.4301</v>
      </c>
    </row>
    <row r="391" customFormat="false" ht="15" hidden="false" customHeight="false" outlineLevel="0" collapsed="false">
      <c r="A391" s="4" t="s">
        <v>3059</v>
      </c>
      <c r="B391" s="7" t="n">
        <v>2025</v>
      </c>
      <c r="C391" s="4" t="s">
        <v>17</v>
      </c>
      <c r="D391" s="4" t="s">
        <v>3901</v>
      </c>
      <c r="E391" s="4" t="s">
        <v>23</v>
      </c>
      <c r="F391" s="4" t="s">
        <v>3902</v>
      </c>
      <c r="G391" s="4" t="s">
        <v>22</v>
      </c>
      <c r="H391" s="4" t="s">
        <v>3903</v>
      </c>
      <c r="I391" s="4" t="s">
        <v>21</v>
      </c>
      <c r="J391" s="4" t="s">
        <v>3904</v>
      </c>
      <c r="K391" s="4" t="s">
        <v>21</v>
      </c>
      <c r="L391" s="4" t="s">
        <v>3905</v>
      </c>
      <c r="M391" s="4" t="s">
        <v>22</v>
      </c>
      <c r="N391" s="7" t="n">
        <v>3</v>
      </c>
      <c r="O391" s="4" t="s">
        <v>3906</v>
      </c>
      <c r="P391" s="10" t="n">
        <v>-1.1901</v>
      </c>
    </row>
    <row r="392" customFormat="false" ht="15" hidden="false" customHeight="false" outlineLevel="0" collapsed="false">
      <c r="A392" s="4" t="s">
        <v>3067</v>
      </c>
      <c r="B392" s="7" t="n">
        <v>2022</v>
      </c>
      <c r="C392" s="4" t="s">
        <v>14</v>
      </c>
      <c r="D392" s="4" t="s">
        <v>3914</v>
      </c>
      <c r="E392" s="4" t="s">
        <v>23</v>
      </c>
      <c r="F392" s="4" t="s">
        <v>3908</v>
      </c>
      <c r="G392" s="4" t="s">
        <v>24</v>
      </c>
      <c r="H392" s="4" t="s">
        <v>3909</v>
      </c>
      <c r="I392" s="4" t="s">
        <v>23</v>
      </c>
      <c r="J392" s="4" t="s">
        <v>3904</v>
      </c>
      <c r="K392" s="4" t="s">
        <v>23</v>
      </c>
      <c r="L392" s="4" t="s">
        <v>3905</v>
      </c>
      <c r="M392" s="4" t="s">
        <v>20</v>
      </c>
      <c r="N392" s="7" t="n">
        <v>2</v>
      </c>
      <c r="O392" s="4" t="s">
        <v>3910</v>
      </c>
      <c r="P392" s="11"/>
    </row>
    <row r="393" customFormat="false" ht="15" hidden="false" customHeight="false" outlineLevel="0" collapsed="false">
      <c r="A393" s="4" t="s">
        <v>3075</v>
      </c>
      <c r="B393" s="7" t="n">
        <v>2025</v>
      </c>
      <c r="C393" s="4" t="s">
        <v>14</v>
      </c>
      <c r="D393" s="4" t="s">
        <v>3914</v>
      </c>
      <c r="E393" s="4" t="s">
        <v>22</v>
      </c>
      <c r="F393" s="4" t="s">
        <v>3908</v>
      </c>
      <c r="G393" s="4" t="s">
        <v>21</v>
      </c>
      <c r="H393" s="4" t="s">
        <v>3909</v>
      </c>
      <c r="I393" s="4" t="s">
        <v>22</v>
      </c>
      <c r="J393" s="4" t="s">
        <v>3904</v>
      </c>
      <c r="K393" s="4" t="s">
        <v>23</v>
      </c>
      <c r="L393" s="4" t="s">
        <v>3905</v>
      </c>
      <c r="M393" s="4" t="s">
        <v>20</v>
      </c>
      <c r="N393" s="7" t="n">
        <v>3</v>
      </c>
      <c r="O393" s="4" t="s">
        <v>3906</v>
      </c>
      <c r="P393" s="10" t="n">
        <v>1.3465</v>
      </c>
    </row>
    <row r="394" customFormat="false" ht="15" hidden="false" customHeight="false" outlineLevel="0" collapsed="false">
      <c r="A394" s="4" t="s">
        <v>3083</v>
      </c>
      <c r="B394" s="7" t="n">
        <v>2024</v>
      </c>
      <c r="C394" s="4" t="s">
        <v>14</v>
      </c>
      <c r="D394" s="4" t="s">
        <v>3914</v>
      </c>
      <c r="E394" s="4" t="s">
        <v>22</v>
      </c>
      <c r="F394" s="4" t="s">
        <v>3908</v>
      </c>
      <c r="G394" s="4" t="s">
        <v>21</v>
      </c>
      <c r="H394" s="4" t="s">
        <v>3909</v>
      </c>
      <c r="I394" s="4" t="s">
        <v>22</v>
      </c>
      <c r="J394" s="4" t="s">
        <v>3904</v>
      </c>
      <c r="K394" s="4" t="s">
        <v>20</v>
      </c>
      <c r="L394" s="4" t="s">
        <v>3905</v>
      </c>
      <c r="M394" s="4" t="s">
        <v>20</v>
      </c>
      <c r="N394" s="7" t="n">
        <v>3</v>
      </c>
      <c r="O394" s="4" t="s">
        <v>3906</v>
      </c>
      <c r="P394" s="10" t="n">
        <v>-0.9882</v>
      </c>
    </row>
    <row r="395" customFormat="false" ht="15" hidden="false" customHeight="false" outlineLevel="0" collapsed="false">
      <c r="A395" s="4" t="s">
        <v>3090</v>
      </c>
      <c r="B395" s="7" t="n">
        <v>2022</v>
      </c>
      <c r="C395" s="4" t="s">
        <v>16</v>
      </c>
      <c r="D395" s="4" t="s">
        <v>3911</v>
      </c>
      <c r="E395" s="4" t="s">
        <v>20</v>
      </c>
      <c r="F395" s="4" t="s">
        <v>3912</v>
      </c>
      <c r="G395" s="4" t="s">
        <v>23</v>
      </c>
      <c r="H395" s="4" t="s">
        <v>3913</v>
      </c>
      <c r="I395" s="4" t="s">
        <v>23</v>
      </c>
      <c r="J395" s="4" t="s">
        <v>3904</v>
      </c>
      <c r="K395" s="4" t="s">
        <v>22</v>
      </c>
      <c r="L395" s="4" t="s">
        <v>3905</v>
      </c>
      <c r="M395" s="4" t="s">
        <v>21</v>
      </c>
      <c r="N395" s="7" t="n">
        <v>3</v>
      </c>
      <c r="O395" s="4" t="s">
        <v>3906</v>
      </c>
      <c r="P395" s="10" t="n">
        <v>-0.0793</v>
      </c>
    </row>
    <row r="396" customFormat="false" ht="15" hidden="false" customHeight="false" outlineLevel="0" collapsed="false">
      <c r="A396" s="4" t="s">
        <v>3098</v>
      </c>
      <c r="B396" s="7" t="n">
        <v>2025</v>
      </c>
      <c r="C396" s="4" t="s">
        <v>17</v>
      </c>
      <c r="D396" s="4" t="s">
        <v>3901</v>
      </c>
      <c r="E396" s="4" t="s">
        <v>22</v>
      </c>
      <c r="F396" s="4" t="s">
        <v>3902</v>
      </c>
      <c r="G396" s="4" t="s">
        <v>21</v>
      </c>
      <c r="H396" s="4" t="s">
        <v>3903</v>
      </c>
      <c r="I396" s="4" t="s">
        <v>24</v>
      </c>
      <c r="J396" s="4" t="s">
        <v>3904</v>
      </c>
      <c r="K396" s="4" t="s">
        <v>22</v>
      </c>
      <c r="L396" s="4" t="s">
        <v>3905</v>
      </c>
      <c r="M396" s="4" t="s">
        <v>21</v>
      </c>
      <c r="N396" s="7" t="n">
        <v>2</v>
      </c>
      <c r="O396" s="4" t="s">
        <v>3910</v>
      </c>
      <c r="P396" s="11"/>
    </row>
    <row r="397" customFormat="false" ht="15" hidden="false" customHeight="false" outlineLevel="0" collapsed="false">
      <c r="A397" s="4" t="s">
        <v>3106</v>
      </c>
      <c r="B397" s="7" t="n">
        <v>2024</v>
      </c>
      <c r="C397" s="4" t="s">
        <v>16</v>
      </c>
      <c r="D397" s="4" t="s">
        <v>3911</v>
      </c>
      <c r="E397" s="4" t="s">
        <v>24</v>
      </c>
      <c r="F397" s="4" t="s">
        <v>3912</v>
      </c>
      <c r="G397" s="4" t="s">
        <v>20</v>
      </c>
      <c r="H397" s="4" t="s">
        <v>3913</v>
      </c>
      <c r="I397" s="4" t="s">
        <v>20</v>
      </c>
      <c r="J397" s="4" t="s">
        <v>3904</v>
      </c>
      <c r="K397" s="4" t="s">
        <v>21</v>
      </c>
      <c r="L397" s="4" t="s">
        <v>3905</v>
      </c>
      <c r="M397" s="4" t="s">
        <v>22</v>
      </c>
      <c r="N397" s="7" t="n">
        <v>2</v>
      </c>
      <c r="O397" s="4" t="s">
        <v>3910</v>
      </c>
      <c r="P397" s="11"/>
    </row>
    <row r="398" customFormat="false" ht="15" hidden="false" customHeight="false" outlineLevel="0" collapsed="false">
      <c r="A398" s="4" t="s">
        <v>3114</v>
      </c>
      <c r="B398" s="7" t="n">
        <v>2021</v>
      </c>
      <c r="C398" s="4" t="s">
        <v>18</v>
      </c>
      <c r="D398" s="4" t="s">
        <v>3915</v>
      </c>
      <c r="E398" s="4" t="s">
        <v>21</v>
      </c>
      <c r="F398" s="4" t="s">
        <v>3916</v>
      </c>
      <c r="G398" s="4" t="s">
        <v>22</v>
      </c>
      <c r="H398" s="4" t="s">
        <v>3917</v>
      </c>
      <c r="I398" s="4" t="s">
        <v>24</v>
      </c>
      <c r="J398" s="4" t="s">
        <v>3904</v>
      </c>
      <c r="K398" s="4" t="s">
        <v>20</v>
      </c>
      <c r="L398" s="4" t="s">
        <v>3905</v>
      </c>
      <c r="M398" s="4" t="s">
        <v>24</v>
      </c>
      <c r="N398" s="7" t="n">
        <v>2</v>
      </c>
      <c r="O398" s="4" t="s">
        <v>3910</v>
      </c>
      <c r="P398" s="11"/>
    </row>
    <row r="399" customFormat="false" ht="15" hidden="false" customHeight="false" outlineLevel="0" collapsed="false">
      <c r="A399" s="4" t="s">
        <v>3122</v>
      </c>
      <c r="B399" s="7" t="n">
        <v>2021</v>
      </c>
      <c r="C399" s="4" t="s">
        <v>18</v>
      </c>
      <c r="D399" s="4" t="s">
        <v>3915</v>
      </c>
      <c r="E399" s="4" t="s">
        <v>20</v>
      </c>
      <c r="F399" s="4" t="s">
        <v>3916</v>
      </c>
      <c r="G399" s="4" t="s">
        <v>21</v>
      </c>
      <c r="H399" s="4" t="s">
        <v>3917</v>
      </c>
      <c r="I399" s="4" t="s">
        <v>22</v>
      </c>
      <c r="J399" s="4" t="s">
        <v>3904</v>
      </c>
      <c r="K399" s="4" t="s">
        <v>23</v>
      </c>
      <c r="L399" s="4" t="s">
        <v>3905</v>
      </c>
      <c r="M399" s="4" t="s">
        <v>23</v>
      </c>
      <c r="N399" s="7" t="n">
        <v>3</v>
      </c>
      <c r="O399" s="4" t="s">
        <v>3906</v>
      </c>
      <c r="P399" s="10" t="n">
        <v>1.095</v>
      </c>
    </row>
    <row r="400" customFormat="false" ht="15" hidden="false" customHeight="false" outlineLevel="0" collapsed="false">
      <c r="A400" s="4" t="s">
        <v>3129</v>
      </c>
      <c r="B400" s="7" t="n">
        <v>2022</v>
      </c>
      <c r="C400" s="4" t="s">
        <v>16</v>
      </c>
      <c r="D400" s="4" t="s">
        <v>3911</v>
      </c>
      <c r="E400" s="4" t="s">
        <v>20</v>
      </c>
      <c r="F400" s="4" t="s">
        <v>3912</v>
      </c>
      <c r="G400" s="4" t="s">
        <v>21</v>
      </c>
      <c r="H400" s="4" t="s">
        <v>3913</v>
      </c>
      <c r="I400" s="4" t="s">
        <v>21</v>
      </c>
      <c r="J400" s="4" t="s">
        <v>3904</v>
      </c>
      <c r="K400" s="4" t="s">
        <v>23</v>
      </c>
      <c r="L400" s="4" t="s">
        <v>3905</v>
      </c>
      <c r="M400" s="4" t="s">
        <v>23</v>
      </c>
      <c r="N400" s="7" t="n">
        <v>3</v>
      </c>
      <c r="O400" s="4" t="s">
        <v>3906</v>
      </c>
      <c r="P400" s="10" t="n">
        <v>0.6038</v>
      </c>
    </row>
    <row r="401" customFormat="false" ht="15" hidden="false" customHeight="false" outlineLevel="0" collapsed="false">
      <c r="A401" s="4" t="s">
        <v>3137</v>
      </c>
      <c r="B401" s="7" t="n">
        <v>2022</v>
      </c>
      <c r="C401" s="4" t="s">
        <v>14</v>
      </c>
      <c r="D401" s="4" t="s">
        <v>3914</v>
      </c>
      <c r="E401" s="4" t="s">
        <v>21</v>
      </c>
      <c r="F401" s="4" t="s">
        <v>3908</v>
      </c>
      <c r="G401" s="4" t="s">
        <v>23</v>
      </c>
      <c r="H401" s="4" t="s">
        <v>3909</v>
      </c>
      <c r="I401" s="4" t="s">
        <v>23</v>
      </c>
      <c r="J401" s="4" t="s">
        <v>3904</v>
      </c>
      <c r="K401" s="4" t="s">
        <v>22</v>
      </c>
      <c r="L401" s="4" t="s">
        <v>3905</v>
      </c>
      <c r="M401" s="4" t="s">
        <v>23</v>
      </c>
      <c r="N401" s="7" t="n">
        <v>3</v>
      </c>
      <c r="O401" s="4" t="s">
        <v>3906</v>
      </c>
      <c r="P401" s="10" t="n">
        <v>-1.2467</v>
      </c>
    </row>
    <row r="402" customFormat="false" ht="15" hidden="false" customHeight="false" outlineLevel="0" collapsed="false">
      <c r="A402" s="4" t="s">
        <v>3144</v>
      </c>
      <c r="B402" s="7" t="n">
        <v>2021</v>
      </c>
      <c r="C402" s="4" t="s">
        <v>14</v>
      </c>
      <c r="D402" s="4" t="s">
        <v>3914</v>
      </c>
      <c r="E402" s="4" t="s">
        <v>24</v>
      </c>
      <c r="F402" s="4" t="s">
        <v>3908</v>
      </c>
      <c r="G402" s="4" t="s">
        <v>21</v>
      </c>
      <c r="H402" s="4" t="s">
        <v>3909</v>
      </c>
      <c r="I402" s="4" t="s">
        <v>20</v>
      </c>
      <c r="J402" s="4" t="s">
        <v>3904</v>
      </c>
      <c r="K402" s="4" t="s">
        <v>23</v>
      </c>
      <c r="L402" s="4" t="s">
        <v>3905</v>
      </c>
      <c r="M402" s="4" t="s">
        <v>22</v>
      </c>
      <c r="N402" s="7" t="n">
        <v>2</v>
      </c>
      <c r="O402" s="4" t="s">
        <v>3910</v>
      </c>
      <c r="P402" s="11"/>
    </row>
    <row r="403" customFormat="false" ht="15" hidden="false" customHeight="false" outlineLevel="0" collapsed="false">
      <c r="A403" s="4" t="s">
        <v>3151</v>
      </c>
      <c r="B403" s="7" t="n">
        <v>2021</v>
      </c>
      <c r="C403" s="4" t="s">
        <v>14</v>
      </c>
      <c r="D403" s="4" t="s">
        <v>3914</v>
      </c>
      <c r="E403" s="4" t="s">
        <v>21</v>
      </c>
      <c r="F403" s="4" t="s">
        <v>3908</v>
      </c>
      <c r="G403" s="4" t="s">
        <v>22</v>
      </c>
      <c r="H403" s="4" t="s">
        <v>3909</v>
      </c>
      <c r="I403" s="4" t="s">
        <v>22</v>
      </c>
      <c r="J403" s="4" t="s">
        <v>3904</v>
      </c>
      <c r="K403" s="4" t="s">
        <v>21</v>
      </c>
      <c r="L403" s="4" t="s">
        <v>3905</v>
      </c>
      <c r="M403" s="4" t="s">
        <v>20</v>
      </c>
      <c r="N403" s="7" t="n">
        <v>3</v>
      </c>
      <c r="O403" s="4" t="s">
        <v>3906</v>
      </c>
      <c r="P403" s="10" t="n">
        <v>0.3641</v>
      </c>
    </row>
    <row r="404" customFormat="false" ht="15" hidden="false" customHeight="false" outlineLevel="0" collapsed="false">
      <c r="A404" s="4" t="s">
        <v>3159</v>
      </c>
      <c r="B404" s="7" t="n">
        <v>2024</v>
      </c>
      <c r="C404" s="4" t="s">
        <v>16</v>
      </c>
      <c r="D404" s="4" t="s">
        <v>3911</v>
      </c>
      <c r="E404" s="4" t="s">
        <v>23</v>
      </c>
      <c r="F404" s="4" t="s">
        <v>3912</v>
      </c>
      <c r="G404" s="4" t="s">
        <v>23</v>
      </c>
      <c r="H404" s="4" t="s">
        <v>3913</v>
      </c>
      <c r="I404" s="4" t="s">
        <v>22</v>
      </c>
      <c r="J404" s="4" t="s">
        <v>3904</v>
      </c>
      <c r="K404" s="4" t="s">
        <v>21</v>
      </c>
      <c r="L404" s="4" t="s">
        <v>3905</v>
      </c>
      <c r="M404" s="4" t="s">
        <v>24</v>
      </c>
      <c r="N404" s="7" t="n">
        <v>3</v>
      </c>
      <c r="O404" s="4" t="s">
        <v>3906</v>
      </c>
      <c r="P404" s="10" t="n">
        <v>0.6396</v>
      </c>
    </row>
    <row r="405" customFormat="false" ht="15" hidden="false" customHeight="false" outlineLevel="0" collapsed="false">
      <c r="A405" s="4" t="s">
        <v>3167</v>
      </c>
      <c r="B405" s="7" t="n">
        <v>2023</v>
      </c>
      <c r="C405" s="4" t="s">
        <v>15</v>
      </c>
      <c r="D405" s="4" t="s">
        <v>3907</v>
      </c>
      <c r="E405" s="4" t="s">
        <v>24</v>
      </c>
      <c r="F405" s="4" t="s">
        <v>3908</v>
      </c>
      <c r="G405" s="4" t="s">
        <v>22</v>
      </c>
      <c r="H405" s="4" t="s">
        <v>3909</v>
      </c>
      <c r="I405" s="4" t="s">
        <v>22</v>
      </c>
      <c r="J405" s="4" t="s">
        <v>3904</v>
      </c>
      <c r="K405" s="4" t="s">
        <v>24</v>
      </c>
      <c r="L405" s="4" t="s">
        <v>3905</v>
      </c>
      <c r="M405" s="4" t="s">
        <v>21</v>
      </c>
      <c r="N405" s="7" t="n">
        <v>2</v>
      </c>
      <c r="O405" s="4" t="s">
        <v>3910</v>
      </c>
      <c r="P405" s="11"/>
    </row>
    <row r="406" customFormat="false" ht="15" hidden="false" customHeight="false" outlineLevel="0" collapsed="false">
      <c r="A406" s="4" t="s">
        <v>3175</v>
      </c>
      <c r="B406" s="7" t="n">
        <v>2023</v>
      </c>
      <c r="C406" s="4" t="s">
        <v>15</v>
      </c>
      <c r="D406" s="4" t="s">
        <v>3907</v>
      </c>
      <c r="E406" s="4" t="s">
        <v>22</v>
      </c>
      <c r="F406" s="4" t="s">
        <v>3908</v>
      </c>
      <c r="G406" s="4" t="s">
        <v>21</v>
      </c>
      <c r="H406" s="4" t="s">
        <v>3909</v>
      </c>
      <c r="I406" s="4" t="s">
        <v>24</v>
      </c>
      <c r="J406" s="4" t="s">
        <v>3904</v>
      </c>
      <c r="K406" s="4" t="s">
        <v>23</v>
      </c>
      <c r="L406" s="4" t="s">
        <v>3905</v>
      </c>
      <c r="M406" s="4" t="s">
        <v>23</v>
      </c>
      <c r="N406" s="7" t="n">
        <v>2</v>
      </c>
      <c r="O406" s="4" t="s">
        <v>3910</v>
      </c>
      <c r="P406" s="11"/>
    </row>
    <row r="407" customFormat="false" ht="15" hidden="false" customHeight="false" outlineLevel="0" collapsed="false">
      <c r="A407" s="4" t="s">
        <v>3183</v>
      </c>
      <c r="B407" s="7" t="n">
        <v>2023</v>
      </c>
      <c r="C407" s="4" t="s">
        <v>14</v>
      </c>
      <c r="D407" s="4" t="s">
        <v>3914</v>
      </c>
      <c r="E407" s="4" t="s">
        <v>21</v>
      </c>
      <c r="F407" s="4" t="s">
        <v>3908</v>
      </c>
      <c r="G407" s="4" t="s">
        <v>20</v>
      </c>
      <c r="H407" s="4" t="s">
        <v>3909</v>
      </c>
      <c r="I407" s="4" t="s">
        <v>20</v>
      </c>
      <c r="J407" s="4" t="s">
        <v>3904</v>
      </c>
      <c r="K407" s="4" t="s">
        <v>23</v>
      </c>
      <c r="L407" s="4" t="s">
        <v>3905</v>
      </c>
      <c r="M407" s="4" t="s">
        <v>23</v>
      </c>
      <c r="N407" s="7" t="n">
        <v>3</v>
      </c>
      <c r="O407" s="4" t="s">
        <v>3906</v>
      </c>
      <c r="P407" s="10" t="n">
        <v>0.3199</v>
      </c>
    </row>
    <row r="408" customFormat="false" ht="15" hidden="false" customHeight="false" outlineLevel="0" collapsed="false">
      <c r="A408" s="4" t="s">
        <v>3191</v>
      </c>
      <c r="B408" s="7" t="n">
        <v>2023</v>
      </c>
      <c r="C408" s="4" t="s">
        <v>17</v>
      </c>
      <c r="D408" s="4" t="s">
        <v>3901</v>
      </c>
      <c r="E408" s="4" t="s">
        <v>24</v>
      </c>
      <c r="F408" s="4" t="s">
        <v>3902</v>
      </c>
      <c r="G408" s="4" t="s">
        <v>22</v>
      </c>
      <c r="H408" s="4" t="s">
        <v>3903</v>
      </c>
      <c r="I408" s="4" t="s">
        <v>21</v>
      </c>
      <c r="J408" s="4" t="s">
        <v>3904</v>
      </c>
      <c r="K408" s="4" t="s">
        <v>23</v>
      </c>
      <c r="L408" s="4" t="s">
        <v>3905</v>
      </c>
      <c r="M408" s="4" t="s">
        <v>24</v>
      </c>
      <c r="N408" s="7" t="n">
        <v>2</v>
      </c>
      <c r="O408" s="4" t="s">
        <v>3910</v>
      </c>
      <c r="P408" s="11"/>
    </row>
    <row r="409" customFormat="false" ht="15" hidden="false" customHeight="false" outlineLevel="0" collapsed="false">
      <c r="A409" s="4" t="s">
        <v>3199</v>
      </c>
      <c r="B409" s="7" t="n">
        <v>2022</v>
      </c>
      <c r="C409" s="4" t="s">
        <v>15</v>
      </c>
      <c r="D409" s="4" t="s">
        <v>3907</v>
      </c>
      <c r="E409" s="4" t="s">
        <v>24</v>
      </c>
      <c r="F409" s="4" t="s">
        <v>3908</v>
      </c>
      <c r="G409" s="4" t="s">
        <v>20</v>
      </c>
      <c r="H409" s="4" t="s">
        <v>3909</v>
      </c>
      <c r="I409" s="4" t="s">
        <v>23</v>
      </c>
      <c r="J409" s="4" t="s">
        <v>3904</v>
      </c>
      <c r="K409" s="4" t="s">
        <v>20</v>
      </c>
      <c r="L409" s="4" t="s">
        <v>3905</v>
      </c>
      <c r="M409" s="4" t="s">
        <v>22</v>
      </c>
      <c r="N409" s="7" t="n">
        <v>2</v>
      </c>
      <c r="O409" s="4" t="s">
        <v>3910</v>
      </c>
      <c r="P409" s="11"/>
    </row>
    <row r="410" customFormat="false" ht="15" hidden="false" customHeight="false" outlineLevel="0" collapsed="false">
      <c r="A410" s="4" t="s">
        <v>3206</v>
      </c>
      <c r="B410" s="7" t="n">
        <v>2022</v>
      </c>
      <c r="C410" s="4" t="s">
        <v>14</v>
      </c>
      <c r="D410" s="4" t="s">
        <v>3914</v>
      </c>
      <c r="E410" s="4" t="s">
        <v>22</v>
      </c>
      <c r="F410" s="4" t="s">
        <v>3908</v>
      </c>
      <c r="G410" s="4" t="s">
        <v>20</v>
      </c>
      <c r="H410" s="4" t="s">
        <v>3909</v>
      </c>
      <c r="I410" s="4" t="s">
        <v>21</v>
      </c>
      <c r="J410" s="4" t="s">
        <v>3904</v>
      </c>
      <c r="K410" s="4" t="s">
        <v>20</v>
      </c>
      <c r="L410" s="4" t="s">
        <v>3905</v>
      </c>
      <c r="M410" s="4" t="s">
        <v>20</v>
      </c>
      <c r="N410" s="7" t="n">
        <v>3</v>
      </c>
      <c r="O410" s="4" t="s">
        <v>3906</v>
      </c>
      <c r="P410" s="10" t="n">
        <v>-0.7504</v>
      </c>
    </row>
    <row r="411" customFormat="false" ht="15" hidden="false" customHeight="false" outlineLevel="0" collapsed="false">
      <c r="A411" s="4" t="s">
        <v>3212</v>
      </c>
      <c r="B411" s="7" t="n">
        <v>2025</v>
      </c>
      <c r="C411" s="4" t="s">
        <v>15</v>
      </c>
      <c r="D411" s="4" t="s">
        <v>3907</v>
      </c>
      <c r="E411" s="4" t="s">
        <v>24</v>
      </c>
      <c r="F411" s="4" t="s">
        <v>3908</v>
      </c>
      <c r="G411" s="4" t="s">
        <v>23</v>
      </c>
      <c r="H411" s="4" t="s">
        <v>3909</v>
      </c>
      <c r="I411" s="4" t="s">
        <v>23</v>
      </c>
      <c r="J411" s="4" t="s">
        <v>3904</v>
      </c>
      <c r="K411" s="4" t="s">
        <v>23</v>
      </c>
      <c r="L411" s="4" t="s">
        <v>3905</v>
      </c>
      <c r="M411" s="4" t="s">
        <v>24</v>
      </c>
      <c r="N411" s="7" t="n">
        <v>2</v>
      </c>
      <c r="O411" s="4" t="s">
        <v>3910</v>
      </c>
      <c r="P411" s="11"/>
    </row>
    <row r="412" customFormat="false" ht="15" hidden="false" customHeight="false" outlineLevel="0" collapsed="false">
      <c r="A412" s="4" t="s">
        <v>3220</v>
      </c>
      <c r="B412" s="7" t="n">
        <v>2024</v>
      </c>
      <c r="C412" s="4" t="s">
        <v>17</v>
      </c>
      <c r="D412" s="4" t="s">
        <v>3901</v>
      </c>
      <c r="E412" s="4" t="s">
        <v>21</v>
      </c>
      <c r="F412" s="4" t="s">
        <v>3902</v>
      </c>
      <c r="G412" s="4" t="s">
        <v>23</v>
      </c>
      <c r="H412" s="4" t="s">
        <v>3903</v>
      </c>
      <c r="I412" s="4" t="s">
        <v>20</v>
      </c>
      <c r="J412" s="4" t="s">
        <v>3904</v>
      </c>
      <c r="K412" s="4" t="s">
        <v>20</v>
      </c>
      <c r="L412" s="4" t="s">
        <v>3905</v>
      </c>
      <c r="M412" s="4" t="s">
        <v>22</v>
      </c>
      <c r="N412" s="7" t="n">
        <v>3</v>
      </c>
      <c r="O412" s="4" t="s">
        <v>3906</v>
      </c>
      <c r="P412" s="10" t="n">
        <v>1.5501</v>
      </c>
    </row>
    <row r="413" customFormat="false" ht="15" hidden="false" customHeight="false" outlineLevel="0" collapsed="false">
      <c r="A413" s="4" t="s">
        <v>3228</v>
      </c>
      <c r="B413" s="7" t="n">
        <v>2021</v>
      </c>
      <c r="C413" s="4" t="s">
        <v>15</v>
      </c>
      <c r="D413" s="4" t="s">
        <v>3907</v>
      </c>
      <c r="E413" s="4" t="s">
        <v>22</v>
      </c>
      <c r="F413" s="4" t="s">
        <v>3908</v>
      </c>
      <c r="G413" s="4" t="s">
        <v>20</v>
      </c>
      <c r="H413" s="4" t="s">
        <v>3909</v>
      </c>
      <c r="I413" s="4" t="s">
        <v>20</v>
      </c>
      <c r="J413" s="4" t="s">
        <v>3904</v>
      </c>
      <c r="K413" s="4" t="s">
        <v>22</v>
      </c>
      <c r="L413" s="4" t="s">
        <v>3905</v>
      </c>
      <c r="M413" s="4" t="s">
        <v>21</v>
      </c>
      <c r="N413" s="7" t="n">
        <v>3</v>
      </c>
      <c r="O413" s="4" t="s">
        <v>3906</v>
      </c>
      <c r="P413" s="10" t="n">
        <v>-0.5328</v>
      </c>
    </row>
    <row r="414" customFormat="false" ht="15" hidden="false" customHeight="false" outlineLevel="0" collapsed="false">
      <c r="A414" s="4" t="s">
        <v>3234</v>
      </c>
      <c r="B414" s="7" t="n">
        <v>2022</v>
      </c>
      <c r="C414" s="4" t="s">
        <v>16</v>
      </c>
      <c r="D414" s="4" t="s">
        <v>3911</v>
      </c>
      <c r="E414" s="4" t="s">
        <v>23</v>
      </c>
      <c r="F414" s="4" t="s">
        <v>3912</v>
      </c>
      <c r="G414" s="4" t="s">
        <v>22</v>
      </c>
      <c r="H414" s="4" t="s">
        <v>3913</v>
      </c>
      <c r="I414" s="4" t="s">
        <v>20</v>
      </c>
      <c r="J414" s="4" t="s">
        <v>3904</v>
      </c>
      <c r="K414" s="4" t="s">
        <v>23</v>
      </c>
      <c r="L414" s="4" t="s">
        <v>3905</v>
      </c>
      <c r="M414" s="4" t="s">
        <v>21</v>
      </c>
      <c r="N414" s="7" t="n">
        <v>3</v>
      </c>
      <c r="O414" s="4" t="s">
        <v>3906</v>
      </c>
      <c r="P414" s="10" t="n">
        <v>1.4945</v>
      </c>
    </row>
    <row r="415" customFormat="false" ht="15" hidden="false" customHeight="false" outlineLevel="0" collapsed="false">
      <c r="A415" s="4" t="s">
        <v>3241</v>
      </c>
      <c r="B415" s="7" t="n">
        <v>2023</v>
      </c>
      <c r="C415" s="4" t="s">
        <v>15</v>
      </c>
      <c r="D415" s="4" t="s">
        <v>3907</v>
      </c>
      <c r="E415" s="4" t="s">
        <v>21</v>
      </c>
      <c r="F415" s="4" t="s">
        <v>3908</v>
      </c>
      <c r="G415" s="4" t="s">
        <v>22</v>
      </c>
      <c r="H415" s="4" t="s">
        <v>3909</v>
      </c>
      <c r="I415" s="4" t="s">
        <v>22</v>
      </c>
      <c r="J415" s="4" t="s">
        <v>3904</v>
      </c>
      <c r="K415" s="4" t="s">
        <v>21</v>
      </c>
      <c r="L415" s="4" t="s">
        <v>3905</v>
      </c>
      <c r="M415" s="4" t="s">
        <v>21</v>
      </c>
      <c r="N415" s="7" t="n">
        <v>3</v>
      </c>
      <c r="O415" s="4" t="s">
        <v>3906</v>
      </c>
      <c r="P415" s="10" t="n">
        <v>1.0398</v>
      </c>
    </row>
    <row r="416" customFormat="false" ht="15" hidden="false" customHeight="false" outlineLevel="0" collapsed="false">
      <c r="A416" s="4" t="s">
        <v>3248</v>
      </c>
      <c r="B416" s="7" t="n">
        <v>2021</v>
      </c>
      <c r="C416" s="4" t="s">
        <v>14</v>
      </c>
      <c r="D416" s="4" t="s">
        <v>3914</v>
      </c>
      <c r="E416" s="4" t="s">
        <v>22</v>
      </c>
      <c r="F416" s="4" t="s">
        <v>3908</v>
      </c>
      <c r="G416" s="4" t="s">
        <v>22</v>
      </c>
      <c r="H416" s="4" t="s">
        <v>3909</v>
      </c>
      <c r="I416" s="4" t="s">
        <v>24</v>
      </c>
      <c r="J416" s="4" t="s">
        <v>3904</v>
      </c>
      <c r="K416" s="4" t="s">
        <v>21</v>
      </c>
      <c r="L416" s="4" t="s">
        <v>3905</v>
      </c>
      <c r="M416" s="4" t="s">
        <v>20</v>
      </c>
      <c r="N416" s="7" t="n">
        <v>2</v>
      </c>
      <c r="O416" s="4" t="s">
        <v>3910</v>
      </c>
      <c r="P416" s="11"/>
    </row>
    <row r="417" customFormat="false" ht="15" hidden="false" customHeight="false" outlineLevel="0" collapsed="false">
      <c r="A417" s="4" t="s">
        <v>3256</v>
      </c>
      <c r="B417" s="7" t="n">
        <v>2024</v>
      </c>
      <c r="C417" s="4" t="s">
        <v>17</v>
      </c>
      <c r="D417" s="4" t="s">
        <v>3901</v>
      </c>
      <c r="E417" s="4" t="s">
        <v>21</v>
      </c>
      <c r="F417" s="4" t="s">
        <v>3902</v>
      </c>
      <c r="G417" s="4" t="s">
        <v>20</v>
      </c>
      <c r="H417" s="4" t="s">
        <v>3903</v>
      </c>
      <c r="I417" s="4" t="s">
        <v>21</v>
      </c>
      <c r="J417" s="4" t="s">
        <v>3904</v>
      </c>
      <c r="K417" s="4" t="s">
        <v>22</v>
      </c>
      <c r="L417" s="4" t="s">
        <v>3905</v>
      </c>
      <c r="M417" s="4" t="s">
        <v>22</v>
      </c>
      <c r="N417" s="7" t="n">
        <v>3</v>
      </c>
      <c r="O417" s="4" t="s">
        <v>3906</v>
      </c>
      <c r="P417" s="10" t="n">
        <v>1.5242</v>
      </c>
    </row>
    <row r="418" customFormat="false" ht="15" hidden="false" customHeight="false" outlineLevel="0" collapsed="false">
      <c r="A418" s="4" t="s">
        <v>3264</v>
      </c>
      <c r="B418" s="7" t="n">
        <v>2025</v>
      </c>
      <c r="C418" s="4" t="s">
        <v>17</v>
      </c>
      <c r="D418" s="4" t="s">
        <v>3901</v>
      </c>
      <c r="E418" s="4" t="s">
        <v>23</v>
      </c>
      <c r="F418" s="4" t="s">
        <v>3902</v>
      </c>
      <c r="G418" s="4" t="s">
        <v>21</v>
      </c>
      <c r="H418" s="4" t="s">
        <v>3903</v>
      </c>
      <c r="I418" s="4" t="s">
        <v>23</v>
      </c>
      <c r="J418" s="4" t="s">
        <v>3904</v>
      </c>
      <c r="K418" s="4" t="s">
        <v>23</v>
      </c>
      <c r="L418" s="4" t="s">
        <v>3905</v>
      </c>
      <c r="M418" s="4" t="s">
        <v>22</v>
      </c>
      <c r="N418" s="7" t="n">
        <v>3</v>
      </c>
      <c r="O418" s="4" t="s">
        <v>3906</v>
      </c>
      <c r="P418" s="10" t="n">
        <v>-1.4927</v>
      </c>
    </row>
    <row r="419" customFormat="false" ht="15" hidden="false" customHeight="false" outlineLevel="0" collapsed="false">
      <c r="A419" s="4" t="s">
        <v>3272</v>
      </c>
      <c r="B419" s="7" t="n">
        <v>2024</v>
      </c>
      <c r="C419" s="4" t="s">
        <v>17</v>
      </c>
      <c r="D419" s="4" t="s">
        <v>3901</v>
      </c>
      <c r="E419" s="4" t="s">
        <v>20</v>
      </c>
      <c r="F419" s="4" t="s">
        <v>3902</v>
      </c>
      <c r="G419" s="4" t="s">
        <v>22</v>
      </c>
      <c r="H419" s="4" t="s">
        <v>3903</v>
      </c>
      <c r="I419" s="4" t="s">
        <v>20</v>
      </c>
      <c r="J419" s="4" t="s">
        <v>3904</v>
      </c>
      <c r="K419" s="4" t="s">
        <v>24</v>
      </c>
      <c r="L419" s="4" t="s">
        <v>3905</v>
      </c>
      <c r="M419" s="4" t="s">
        <v>22</v>
      </c>
      <c r="N419" s="7" t="n">
        <v>3</v>
      </c>
      <c r="O419" s="4" t="s">
        <v>3906</v>
      </c>
      <c r="P419" s="10" t="n">
        <v>-0.9211</v>
      </c>
    </row>
    <row r="420" customFormat="false" ht="15" hidden="false" customHeight="false" outlineLevel="0" collapsed="false">
      <c r="A420" s="4" t="s">
        <v>3279</v>
      </c>
      <c r="B420" s="7" t="n">
        <v>2021</v>
      </c>
      <c r="C420" s="4" t="s">
        <v>16</v>
      </c>
      <c r="D420" s="4" t="s">
        <v>3911</v>
      </c>
      <c r="E420" s="4" t="s">
        <v>22</v>
      </c>
      <c r="F420" s="4" t="s">
        <v>3912</v>
      </c>
      <c r="G420" s="4" t="s">
        <v>21</v>
      </c>
      <c r="H420" s="4" t="s">
        <v>3913</v>
      </c>
      <c r="I420" s="4" t="s">
        <v>22</v>
      </c>
      <c r="J420" s="4" t="s">
        <v>3904</v>
      </c>
      <c r="K420" s="4" t="s">
        <v>20</v>
      </c>
      <c r="L420" s="4" t="s">
        <v>3905</v>
      </c>
      <c r="M420" s="4" t="s">
        <v>22</v>
      </c>
      <c r="N420" s="7" t="n">
        <v>3</v>
      </c>
      <c r="O420" s="4" t="s">
        <v>3906</v>
      </c>
      <c r="P420" s="10" t="n">
        <v>2.2646</v>
      </c>
    </row>
    <row r="421" customFormat="false" ht="15" hidden="false" customHeight="false" outlineLevel="0" collapsed="false">
      <c r="A421" s="4" t="s">
        <v>3287</v>
      </c>
      <c r="B421" s="7" t="n">
        <v>2025</v>
      </c>
      <c r="C421" s="4" t="s">
        <v>15</v>
      </c>
      <c r="D421" s="4" t="s">
        <v>3907</v>
      </c>
      <c r="E421" s="4" t="s">
        <v>22</v>
      </c>
      <c r="F421" s="4" t="s">
        <v>3908</v>
      </c>
      <c r="G421" s="4" t="s">
        <v>22</v>
      </c>
      <c r="H421" s="4" t="s">
        <v>3909</v>
      </c>
      <c r="I421" s="4" t="s">
        <v>22</v>
      </c>
      <c r="J421" s="4" t="s">
        <v>3904</v>
      </c>
      <c r="K421" s="4" t="s">
        <v>21</v>
      </c>
      <c r="L421" s="4" t="s">
        <v>3905</v>
      </c>
      <c r="M421" s="4" t="s">
        <v>22</v>
      </c>
      <c r="N421" s="7" t="n">
        <v>3</v>
      </c>
      <c r="O421" s="4" t="s">
        <v>3906</v>
      </c>
      <c r="P421" s="10" t="n">
        <v>-0.5313</v>
      </c>
    </row>
    <row r="422" customFormat="false" ht="15" hidden="false" customHeight="false" outlineLevel="0" collapsed="false">
      <c r="A422" s="4" t="s">
        <v>3295</v>
      </c>
      <c r="B422" s="7" t="n">
        <v>2022</v>
      </c>
      <c r="C422" s="4" t="s">
        <v>15</v>
      </c>
      <c r="D422" s="4" t="s">
        <v>3907</v>
      </c>
      <c r="E422" s="4" t="s">
        <v>22</v>
      </c>
      <c r="F422" s="4" t="s">
        <v>3908</v>
      </c>
      <c r="G422" s="4" t="s">
        <v>24</v>
      </c>
      <c r="H422" s="4" t="s">
        <v>3909</v>
      </c>
      <c r="I422" s="4" t="s">
        <v>20</v>
      </c>
      <c r="J422" s="4" t="s">
        <v>3904</v>
      </c>
      <c r="K422" s="4" t="s">
        <v>22</v>
      </c>
      <c r="L422" s="4" t="s">
        <v>3905</v>
      </c>
      <c r="M422" s="4" t="s">
        <v>21</v>
      </c>
      <c r="N422" s="7" t="n">
        <v>2</v>
      </c>
      <c r="O422" s="4" t="s">
        <v>3910</v>
      </c>
      <c r="P422" s="11"/>
    </row>
    <row r="423" customFormat="false" ht="15" hidden="false" customHeight="false" outlineLevel="0" collapsed="false">
      <c r="A423" s="4" t="s">
        <v>3303</v>
      </c>
      <c r="B423" s="7" t="n">
        <v>2022</v>
      </c>
      <c r="C423" s="4" t="s">
        <v>14</v>
      </c>
      <c r="D423" s="4" t="s">
        <v>3914</v>
      </c>
      <c r="E423" s="4" t="s">
        <v>22</v>
      </c>
      <c r="F423" s="4" t="s">
        <v>3908</v>
      </c>
      <c r="G423" s="4" t="s">
        <v>22</v>
      </c>
      <c r="H423" s="4" t="s">
        <v>3909</v>
      </c>
      <c r="I423" s="4" t="s">
        <v>22</v>
      </c>
      <c r="J423" s="4" t="s">
        <v>3904</v>
      </c>
      <c r="K423" s="4" t="s">
        <v>23</v>
      </c>
      <c r="L423" s="4" t="s">
        <v>3905</v>
      </c>
      <c r="M423" s="4" t="s">
        <v>20</v>
      </c>
      <c r="N423" s="7" t="n">
        <v>3</v>
      </c>
      <c r="O423" s="4" t="s">
        <v>3906</v>
      </c>
      <c r="P423" s="10" t="n">
        <v>-1.0504</v>
      </c>
    </row>
    <row r="424" customFormat="false" ht="15" hidden="false" customHeight="false" outlineLevel="0" collapsed="false">
      <c r="A424" s="4" t="s">
        <v>3311</v>
      </c>
      <c r="B424" s="7" t="n">
        <v>2023</v>
      </c>
      <c r="C424" s="4" t="s">
        <v>15</v>
      </c>
      <c r="D424" s="4" t="s">
        <v>3907</v>
      </c>
      <c r="E424" s="4" t="s">
        <v>21</v>
      </c>
      <c r="F424" s="4" t="s">
        <v>3908</v>
      </c>
      <c r="G424" s="4" t="s">
        <v>23</v>
      </c>
      <c r="H424" s="4" t="s">
        <v>3909</v>
      </c>
      <c r="I424" s="4" t="s">
        <v>20</v>
      </c>
      <c r="J424" s="4" t="s">
        <v>3904</v>
      </c>
      <c r="K424" s="4" t="s">
        <v>20</v>
      </c>
      <c r="L424" s="4" t="s">
        <v>3905</v>
      </c>
      <c r="M424" s="4" t="s">
        <v>21</v>
      </c>
      <c r="N424" s="7" t="n">
        <v>3</v>
      </c>
      <c r="O424" s="4" t="s">
        <v>3906</v>
      </c>
      <c r="P424" s="10" t="n">
        <v>2.0411</v>
      </c>
    </row>
    <row r="425" customFormat="false" ht="15" hidden="false" customHeight="false" outlineLevel="0" collapsed="false">
      <c r="A425" s="4" t="s">
        <v>3318</v>
      </c>
      <c r="B425" s="7" t="n">
        <v>2025</v>
      </c>
      <c r="C425" s="4" t="s">
        <v>14</v>
      </c>
      <c r="D425" s="4" t="s">
        <v>3914</v>
      </c>
      <c r="E425" s="4" t="s">
        <v>23</v>
      </c>
      <c r="F425" s="4" t="s">
        <v>3908</v>
      </c>
      <c r="G425" s="4" t="s">
        <v>22</v>
      </c>
      <c r="H425" s="4" t="s">
        <v>3909</v>
      </c>
      <c r="I425" s="4" t="s">
        <v>22</v>
      </c>
      <c r="J425" s="4" t="s">
        <v>3904</v>
      </c>
      <c r="K425" s="4" t="s">
        <v>21</v>
      </c>
      <c r="L425" s="4" t="s">
        <v>3905</v>
      </c>
      <c r="M425" s="4" t="s">
        <v>21</v>
      </c>
      <c r="N425" s="7" t="n">
        <v>3</v>
      </c>
      <c r="O425" s="4" t="s">
        <v>3906</v>
      </c>
      <c r="P425" s="10" t="n">
        <v>-0.2803</v>
      </c>
    </row>
    <row r="426" customFormat="false" ht="15" hidden="false" customHeight="false" outlineLevel="0" collapsed="false">
      <c r="A426" s="4" t="s">
        <v>3325</v>
      </c>
      <c r="B426" s="7" t="n">
        <v>2025</v>
      </c>
      <c r="C426" s="4" t="s">
        <v>18</v>
      </c>
      <c r="D426" s="4" t="s">
        <v>3915</v>
      </c>
      <c r="E426" s="4" t="s">
        <v>21</v>
      </c>
      <c r="F426" s="4" t="s">
        <v>3916</v>
      </c>
      <c r="G426" s="4" t="s">
        <v>23</v>
      </c>
      <c r="H426" s="4" t="s">
        <v>3917</v>
      </c>
      <c r="I426" s="4" t="s">
        <v>22</v>
      </c>
      <c r="J426" s="4" t="s">
        <v>3904</v>
      </c>
      <c r="K426" s="4" t="s">
        <v>21</v>
      </c>
      <c r="L426" s="4" t="s">
        <v>3905</v>
      </c>
      <c r="M426" s="4" t="s">
        <v>21</v>
      </c>
      <c r="N426" s="7" t="n">
        <v>3</v>
      </c>
      <c r="O426" s="4" t="s">
        <v>3906</v>
      </c>
      <c r="P426" s="10" t="n">
        <v>1.9249</v>
      </c>
    </row>
    <row r="427" customFormat="false" ht="15" hidden="false" customHeight="false" outlineLevel="0" collapsed="false">
      <c r="A427" s="4" t="s">
        <v>3333</v>
      </c>
      <c r="B427" s="7" t="n">
        <v>2021</v>
      </c>
      <c r="C427" s="4" t="s">
        <v>18</v>
      </c>
      <c r="D427" s="4" t="s">
        <v>3915</v>
      </c>
      <c r="E427" s="4" t="s">
        <v>21</v>
      </c>
      <c r="F427" s="4" t="s">
        <v>3916</v>
      </c>
      <c r="G427" s="4" t="s">
        <v>22</v>
      </c>
      <c r="H427" s="4" t="s">
        <v>3917</v>
      </c>
      <c r="I427" s="4" t="s">
        <v>24</v>
      </c>
      <c r="J427" s="4" t="s">
        <v>3904</v>
      </c>
      <c r="K427" s="4" t="s">
        <v>23</v>
      </c>
      <c r="L427" s="4" t="s">
        <v>3905</v>
      </c>
      <c r="M427" s="4" t="s">
        <v>22</v>
      </c>
      <c r="N427" s="7" t="n">
        <v>2</v>
      </c>
      <c r="O427" s="4" t="s">
        <v>3910</v>
      </c>
      <c r="P427" s="11"/>
    </row>
    <row r="428" customFormat="false" ht="15" hidden="false" customHeight="false" outlineLevel="0" collapsed="false">
      <c r="A428" s="4" t="s">
        <v>3340</v>
      </c>
      <c r="B428" s="7" t="n">
        <v>2024</v>
      </c>
      <c r="C428" s="4" t="s">
        <v>17</v>
      </c>
      <c r="D428" s="4" t="s">
        <v>3901</v>
      </c>
      <c r="E428" s="4" t="s">
        <v>22</v>
      </c>
      <c r="F428" s="4" t="s">
        <v>3902</v>
      </c>
      <c r="G428" s="4" t="s">
        <v>22</v>
      </c>
      <c r="H428" s="4" t="s">
        <v>3903</v>
      </c>
      <c r="I428" s="4" t="s">
        <v>22</v>
      </c>
      <c r="J428" s="4" t="s">
        <v>3904</v>
      </c>
      <c r="K428" s="4" t="s">
        <v>22</v>
      </c>
      <c r="L428" s="4" t="s">
        <v>3905</v>
      </c>
      <c r="M428" s="4" t="s">
        <v>22</v>
      </c>
      <c r="N428" s="7" t="n">
        <v>3</v>
      </c>
      <c r="O428" s="4" t="s">
        <v>3906</v>
      </c>
      <c r="P428" s="10" t="n">
        <v>-0.611</v>
      </c>
    </row>
    <row r="429" customFormat="false" ht="15" hidden="false" customHeight="false" outlineLevel="0" collapsed="false">
      <c r="A429" s="4" t="s">
        <v>3347</v>
      </c>
      <c r="B429" s="7" t="n">
        <v>2024</v>
      </c>
      <c r="C429" s="4" t="s">
        <v>16</v>
      </c>
      <c r="D429" s="4" t="s">
        <v>3911</v>
      </c>
      <c r="E429" s="4" t="s">
        <v>24</v>
      </c>
      <c r="F429" s="4" t="s">
        <v>3912</v>
      </c>
      <c r="G429" s="4" t="s">
        <v>22</v>
      </c>
      <c r="H429" s="4" t="s">
        <v>3913</v>
      </c>
      <c r="I429" s="4" t="s">
        <v>20</v>
      </c>
      <c r="J429" s="4" t="s">
        <v>3904</v>
      </c>
      <c r="K429" s="4" t="s">
        <v>20</v>
      </c>
      <c r="L429" s="4" t="s">
        <v>3905</v>
      </c>
      <c r="M429" s="4" t="s">
        <v>21</v>
      </c>
      <c r="N429" s="7" t="n">
        <v>2</v>
      </c>
      <c r="O429" s="4" t="s">
        <v>3910</v>
      </c>
      <c r="P429" s="11"/>
    </row>
    <row r="430" customFormat="false" ht="15" hidden="false" customHeight="false" outlineLevel="0" collapsed="false">
      <c r="A430" s="4" t="s">
        <v>3354</v>
      </c>
      <c r="B430" s="7" t="n">
        <v>2021</v>
      </c>
      <c r="C430" s="4" t="s">
        <v>16</v>
      </c>
      <c r="D430" s="4" t="s">
        <v>3911</v>
      </c>
      <c r="E430" s="4" t="s">
        <v>21</v>
      </c>
      <c r="F430" s="4" t="s">
        <v>3912</v>
      </c>
      <c r="G430" s="4" t="s">
        <v>23</v>
      </c>
      <c r="H430" s="4" t="s">
        <v>3913</v>
      </c>
      <c r="I430" s="4" t="s">
        <v>20</v>
      </c>
      <c r="J430" s="4" t="s">
        <v>3904</v>
      </c>
      <c r="K430" s="4" t="s">
        <v>23</v>
      </c>
      <c r="L430" s="4" t="s">
        <v>3905</v>
      </c>
      <c r="M430" s="4" t="s">
        <v>21</v>
      </c>
      <c r="N430" s="7" t="n">
        <v>3</v>
      </c>
      <c r="O430" s="4" t="s">
        <v>3906</v>
      </c>
      <c r="P430" s="10" t="n">
        <v>0.4175</v>
      </c>
    </row>
    <row r="431" customFormat="false" ht="15" hidden="false" customHeight="false" outlineLevel="0" collapsed="false">
      <c r="A431" s="4" t="s">
        <v>3362</v>
      </c>
      <c r="B431" s="7" t="n">
        <v>2022</v>
      </c>
      <c r="C431" s="4" t="s">
        <v>14</v>
      </c>
      <c r="D431" s="4" t="s">
        <v>3914</v>
      </c>
      <c r="E431" s="4" t="s">
        <v>24</v>
      </c>
      <c r="F431" s="4" t="s">
        <v>3908</v>
      </c>
      <c r="G431" s="4" t="s">
        <v>23</v>
      </c>
      <c r="H431" s="4" t="s">
        <v>3909</v>
      </c>
      <c r="I431" s="4" t="s">
        <v>22</v>
      </c>
      <c r="J431" s="4" t="s">
        <v>3904</v>
      </c>
      <c r="K431" s="4" t="s">
        <v>21</v>
      </c>
      <c r="L431" s="4" t="s">
        <v>3905</v>
      </c>
      <c r="M431" s="4" t="s">
        <v>23</v>
      </c>
      <c r="N431" s="7" t="n">
        <v>2</v>
      </c>
      <c r="O431" s="4" t="s">
        <v>3910</v>
      </c>
      <c r="P431" s="11"/>
    </row>
    <row r="432" customFormat="false" ht="15" hidden="false" customHeight="false" outlineLevel="0" collapsed="false">
      <c r="A432" s="4" t="s">
        <v>3369</v>
      </c>
      <c r="B432" s="7" t="n">
        <v>2021</v>
      </c>
      <c r="C432" s="4" t="s">
        <v>15</v>
      </c>
      <c r="D432" s="4" t="s">
        <v>3907</v>
      </c>
      <c r="E432" s="4" t="s">
        <v>20</v>
      </c>
      <c r="F432" s="4" t="s">
        <v>3908</v>
      </c>
      <c r="G432" s="4" t="s">
        <v>20</v>
      </c>
      <c r="H432" s="4" t="s">
        <v>3909</v>
      </c>
      <c r="I432" s="4" t="s">
        <v>22</v>
      </c>
      <c r="J432" s="4" t="s">
        <v>3904</v>
      </c>
      <c r="K432" s="4" t="s">
        <v>21</v>
      </c>
      <c r="L432" s="4" t="s">
        <v>3905</v>
      </c>
      <c r="M432" s="4" t="s">
        <v>22</v>
      </c>
      <c r="N432" s="7" t="n">
        <v>3</v>
      </c>
      <c r="O432" s="4" t="s">
        <v>3906</v>
      </c>
      <c r="P432" s="10" t="n">
        <v>0.2364</v>
      </c>
    </row>
    <row r="433" customFormat="false" ht="15" hidden="false" customHeight="false" outlineLevel="0" collapsed="false">
      <c r="A433" s="4" t="s">
        <v>3377</v>
      </c>
      <c r="B433" s="7" t="n">
        <v>2023</v>
      </c>
      <c r="C433" s="4" t="s">
        <v>18</v>
      </c>
      <c r="D433" s="4" t="s">
        <v>3915</v>
      </c>
      <c r="E433" s="4" t="s">
        <v>20</v>
      </c>
      <c r="F433" s="4" t="s">
        <v>3916</v>
      </c>
      <c r="G433" s="4" t="s">
        <v>23</v>
      </c>
      <c r="H433" s="4" t="s">
        <v>3917</v>
      </c>
      <c r="I433" s="4" t="s">
        <v>21</v>
      </c>
      <c r="J433" s="4" t="s">
        <v>3904</v>
      </c>
      <c r="K433" s="4" t="s">
        <v>21</v>
      </c>
      <c r="L433" s="4" t="s">
        <v>3905</v>
      </c>
      <c r="M433" s="4" t="s">
        <v>21</v>
      </c>
      <c r="N433" s="7" t="n">
        <v>3</v>
      </c>
      <c r="O433" s="4" t="s">
        <v>3906</v>
      </c>
      <c r="P433" s="10" t="n">
        <v>-1.4179</v>
      </c>
    </row>
    <row r="434" customFormat="false" ht="15" hidden="false" customHeight="false" outlineLevel="0" collapsed="false">
      <c r="A434" s="4" t="s">
        <v>3385</v>
      </c>
      <c r="B434" s="7" t="n">
        <v>2023</v>
      </c>
      <c r="C434" s="4" t="s">
        <v>18</v>
      </c>
      <c r="D434" s="4" t="s">
        <v>3915</v>
      </c>
      <c r="E434" s="4" t="s">
        <v>21</v>
      </c>
      <c r="F434" s="4" t="s">
        <v>3916</v>
      </c>
      <c r="G434" s="4" t="s">
        <v>24</v>
      </c>
      <c r="H434" s="4" t="s">
        <v>3917</v>
      </c>
      <c r="I434" s="4" t="s">
        <v>22</v>
      </c>
      <c r="J434" s="4" t="s">
        <v>3904</v>
      </c>
      <c r="K434" s="4" t="s">
        <v>23</v>
      </c>
      <c r="L434" s="4" t="s">
        <v>3905</v>
      </c>
      <c r="M434" s="4" t="s">
        <v>24</v>
      </c>
      <c r="N434" s="7" t="n">
        <v>2</v>
      </c>
      <c r="O434" s="4" t="s">
        <v>3910</v>
      </c>
      <c r="P434" s="11"/>
    </row>
    <row r="435" customFormat="false" ht="15" hidden="false" customHeight="false" outlineLevel="0" collapsed="false">
      <c r="A435" s="4" t="s">
        <v>3393</v>
      </c>
      <c r="B435" s="7" t="n">
        <v>2021</v>
      </c>
      <c r="C435" s="4" t="s">
        <v>16</v>
      </c>
      <c r="D435" s="4" t="s">
        <v>3911</v>
      </c>
      <c r="E435" s="4" t="s">
        <v>23</v>
      </c>
      <c r="F435" s="4" t="s">
        <v>3912</v>
      </c>
      <c r="G435" s="4" t="s">
        <v>20</v>
      </c>
      <c r="H435" s="4" t="s">
        <v>3913</v>
      </c>
      <c r="I435" s="4" t="s">
        <v>20</v>
      </c>
      <c r="J435" s="4" t="s">
        <v>3904</v>
      </c>
      <c r="K435" s="4" t="s">
        <v>22</v>
      </c>
      <c r="L435" s="4" t="s">
        <v>3905</v>
      </c>
      <c r="M435" s="4" t="s">
        <v>22</v>
      </c>
      <c r="N435" s="7" t="n">
        <v>3</v>
      </c>
      <c r="O435" s="4" t="s">
        <v>3906</v>
      </c>
      <c r="P435" s="10" t="n">
        <v>1.6877</v>
      </c>
    </row>
    <row r="436" customFormat="false" ht="15" hidden="false" customHeight="false" outlineLevel="0" collapsed="false">
      <c r="A436" s="4" t="s">
        <v>3399</v>
      </c>
      <c r="B436" s="7" t="n">
        <v>2025</v>
      </c>
      <c r="C436" s="4" t="s">
        <v>17</v>
      </c>
      <c r="D436" s="4" t="s">
        <v>3901</v>
      </c>
      <c r="E436" s="4" t="s">
        <v>21</v>
      </c>
      <c r="F436" s="4" t="s">
        <v>3902</v>
      </c>
      <c r="G436" s="4" t="s">
        <v>22</v>
      </c>
      <c r="H436" s="4" t="s">
        <v>3903</v>
      </c>
      <c r="I436" s="4" t="s">
        <v>20</v>
      </c>
      <c r="J436" s="4" t="s">
        <v>3904</v>
      </c>
      <c r="K436" s="4" t="s">
        <v>21</v>
      </c>
      <c r="L436" s="4" t="s">
        <v>3905</v>
      </c>
      <c r="M436" s="4" t="s">
        <v>20</v>
      </c>
      <c r="N436" s="7" t="n">
        <v>3</v>
      </c>
      <c r="O436" s="4" t="s">
        <v>3906</v>
      </c>
      <c r="P436" s="10" t="n">
        <v>-1.4544</v>
      </c>
    </row>
    <row r="437" customFormat="false" ht="15" hidden="false" customHeight="false" outlineLevel="0" collapsed="false">
      <c r="A437" s="4" t="s">
        <v>3406</v>
      </c>
      <c r="B437" s="7" t="n">
        <v>2021</v>
      </c>
      <c r="C437" s="4" t="s">
        <v>14</v>
      </c>
      <c r="D437" s="4" t="s">
        <v>3914</v>
      </c>
      <c r="E437" s="4" t="s">
        <v>23</v>
      </c>
      <c r="F437" s="4" t="s">
        <v>3908</v>
      </c>
      <c r="G437" s="4" t="s">
        <v>22</v>
      </c>
      <c r="H437" s="4" t="s">
        <v>3909</v>
      </c>
      <c r="I437" s="4" t="s">
        <v>23</v>
      </c>
      <c r="J437" s="4" t="s">
        <v>3904</v>
      </c>
      <c r="K437" s="4" t="s">
        <v>22</v>
      </c>
      <c r="L437" s="4" t="s">
        <v>3905</v>
      </c>
      <c r="M437" s="4" t="s">
        <v>20</v>
      </c>
      <c r="N437" s="7" t="n">
        <v>3</v>
      </c>
      <c r="O437" s="4" t="s">
        <v>3906</v>
      </c>
      <c r="P437" s="10" t="n">
        <v>-0.0186</v>
      </c>
    </row>
    <row r="438" customFormat="false" ht="15" hidden="false" customHeight="false" outlineLevel="0" collapsed="false">
      <c r="A438" s="4" t="s">
        <v>3414</v>
      </c>
      <c r="B438" s="7" t="n">
        <v>2021</v>
      </c>
      <c r="C438" s="4" t="s">
        <v>17</v>
      </c>
      <c r="D438" s="4" t="s">
        <v>3901</v>
      </c>
      <c r="E438" s="4" t="s">
        <v>21</v>
      </c>
      <c r="F438" s="4" t="s">
        <v>3902</v>
      </c>
      <c r="G438" s="4" t="s">
        <v>20</v>
      </c>
      <c r="H438" s="4" t="s">
        <v>3903</v>
      </c>
      <c r="I438" s="4" t="s">
        <v>24</v>
      </c>
      <c r="J438" s="4" t="s">
        <v>3904</v>
      </c>
      <c r="K438" s="4" t="s">
        <v>24</v>
      </c>
      <c r="L438" s="4" t="s">
        <v>3905</v>
      </c>
      <c r="M438" s="4" t="s">
        <v>22</v>
      </c>
      <c r="N438" s="7" t="n">
        <v>2</v>
      </c>
      <c r="O438" s="4" t="s">
        <v>3910</v>
      </c>
      <c r="P438" s="11"/>
    </row>
    <row r="439" customFormat="false" ht="15" hidden="false" customHeight="false" outlineLevel="0" collapsed="false">
      <c r="A439" s="4" t="s">
        <v>3421</v>
      </c>
      <c r="B439" s="7" t="n">
        <v>2024</v>
      </c>
      <c r="C439" s="4" t="s">
        <v>14</v>
      </c>
      <c r="D439" s="4" t="s">
        <v>3914</v>
      </c>
      <c r="E439" s="4" t="s">
        <v>21</v>
      </c>
      <c r="F439" s="4" t="s">
        <v>3908</v>
      </c>
      <c r="G439" s="4" t="s">
        <v>24</v>
      </c>
      <c r="H439" s="4" t="s">
        <v>3909</v>
      </c>
      <c r="I439" s="4" t="s">
        <v>22</v>
      </c>
      <c r="J439" s="4" t="s">
        <v>3904</v>
      </c>
      <c r="K439" s="4" t="s">
        <v>23</v>
      </c>
      <c r="L439" s="4" t="s">
        <v>3905</v>
      </c>
      <c r="M439" s="4" t="s">
        <v>20</v>
      </c>
      <c r="N439" s="7" t="n">
        <v>2</v>
      </c>
      <c r="O439" s="4" t="s">
        <v>3910</v>
      </c>
      <c r="P439" s="11"/>
    </row>
    <row r="440" customFormat="false" ht="15" hidden="false" customHeight="false" outlineLevel="0" collapsed="false">
      <c r="A440" s="4" t="s">
        <v>3429</v>
      </c>
      <c r="B440" s="7" t="n">
        <v>2022</v>
      </c>
      <c r="C440" s="4" t="s">
        <v>14</v>
      </c>
      <c r="D440" s="4" t="s">
        <v>3914</v>
      </c>
      <c r="E440" s="4" t="s">
        <v>20</v>
      </c>
      <c r="F440" s="4" t="s">
        <v>3908</v>
      </c>
      <c r="G440" s="4" t="s">
        <v>22</v>
      </c>
      <c r="H440" s="4" t="s">
        <v>3909</v>
      </c>
      <c r="I440" s="4" t="s">
        <v>23</v>
      </c>
      <c r="J440" s="4" t="s">
        <v>3904</v>
      </c>
      <c r="K440" s="4" t="s">
        <v>22</v>
      </c>
      <c r="L440" s="4" t="s">
        <v>3905</v>
      </c>
      <c r="M440" s="4" t="s">
        <v>23</v>
      </c>
      <c r="N440" s="7" t="n">
        <v>3</v>
      </c>
      <c r="O440" s="4" t="s">
        <v>3906</v>
      </c>
      <c r="P440" s="10" t="n">
        <v>1.8962</v>
      </c>
    </row>
    <row r="441" customFormat="false" ht="15" hidden="false" customHeight="false" outlineLevel="0" collapsed="false">
      <c r="A441" s="4" t="s">
        <v>3437</v>
      </c>
      <c r="B441" s="7" t="n">
        <v>2021</v>
      </c>
      <c r="C441" s="4" t="s">
        <v>17</v>
      </c>
      <c r="D441" s="4" t="s">
        <v>3901</v>
      </c>
      <c r="E441" s="4" t="s">
        <v>20</v>
      </c>
      <c r="F441" s="4" t="s">
        <v>3902</v>
      </c>
      <c r="G441" s="4" t="s">
        <v>22</v>
      </c>
      <c r="H441" s="4" t="s">
        <v>3903</v>
      </c>
      <c r="I441" s="4" t="s">
        <v>22</v>
      </c>
      <c r="J441" s="4" t="s">
        <v>3904</v>
      </c>
      <c r="K441" s="4" t="s">
        <v>23</v>
      </c>
      <c r="L441" s="4" t="s">
        <v>3905</v>
      </c>
      <c r="M441" s="4" t="s">
        <v>24</v>
      </c>
      <c r="N441" s="7" t="n">
        <v>3</v>
      </c>
      <c r="O441" s="4" t="s">
        <v>3906</v>
      </c>
      <c r="P441" s="10" t="n">
        <v>-1.039</v>
      </c>
    </row>
    <row r="442" customFormat="false" ht="15" hidden="false" customHeight="false" outlineLevel="0" collapsed="false">
      <c r="A442" s="4" t="s">
        <v>3445</v>
      </c>
      <c r="B442" s="7" t="n">
        <v>2024</v>
      </c>
      <c r="C442" s="4" t="s">
        <v>16</v>
      </c>
      <c r="D442" s="4" t="s">
        <v>3911</v>
      </c>
      <c r="E442" s="4" t="s">
        <v>21</v>
      </c>
      <c r="F442" s="4" t="s">
        <v>3912</v>
      </c>
      <c r="G442" s="4" t="s">
        <v>20</v>
      </c>
      <c r="H442" s="4" t="s">
        <v>3913</v>
      </c>
      <c r="I442" s="4" t="s">
        <v>20</v>
      </c>
      <c r="J442" s="4" t="s">
        <v>3904</v>
      </c>
      <c r="K442" s="4" t="s">
        <v>23</v>
      </c>
      <c r="L442" s="4" t="s">
        <v>3905</v>
      </c>
      <c r="M442" s="4" t="s">
        <v>24</v>
      </c>
      <c r="N442" s="7" t="n">
        <v>3</v>
      </c>
      <c r="O442" s="4" t="s">
        <v>3906</v>
      </c>
      <c r="P442" s="10" t="n">
        <v>-1.1866</v>
      </c>
    </row>
    <row r="443" customFormat="false" ht="15" hidden="false" customHeight="false" outlineLevel="0" collapsed="false">
      <c r="A443" s="4" t="s">
        <v>3453</v>
      </c>
      <c r="B443" s="7" t="n">
        <v>2022</v>
      </c>
      <c r="C443" s="4" t="s">
        <v>14</v>
      </c>
      <c r="D443" s="4" t="s">
        <v>3914</v>
      </c>
      <c r="E443" s="4" t="s">
        <v>21</v>
      </c>
      <c r="F443" s="4" t="s">
        <v>3908</v>
      </c>
      <c r="G443" s="4" t="s">
        <v>22</v>
      </c>
      <c r="H443" s="4" t="s">
        <v>3909</v>
      </c>
      <c r="I443" s="4" t="s">
        <v>20</v>
      </c>
      <c r="J443" s="4" t="s">
        <v>3904</v>
      </c>
      <c r="K443" s="4" t="s">
        <v>20</v>
      </c>
      <c r="L443" s="4" t="s">
        <v>3905</v>
      </c>
      <c r="M443" s="4" t="s">
        <v>23</v>
      </c>
      <c r="N443" s="7" t="n">
        <v>3</v>
      </c>
      <c r="O443" s="4" t="s">
        <v>3906</v>
      </c>
      <c r="P443" s="10" t="n">
        <v>1.9589</v>
      </c>
    </row>
    <row r="444" customFormat="false" ht="15" hidden="false" customHeight="false" outlineLevel="0" collapsed="false">
      <c r="A444" s="4" t="s">
        <v>3460</v>
      </c>
      <c r="B444" s="7" t="n">
        <v>2022</v>
      </c>
      <c r="C444" s="4" t="s">
        <v>14</v>
      </c>
      <c r="D444" s="4" t="s">
        <v>3914</v>
      </c>
      <c r="E444" s="4" t="s">
        <v>21</v>
      </c>
      <c r="F444" s="4" t="s">
        <v>3908</v>
      </c>
      <c r="G444" s="4" t="s">
        <v>23</v>
      </c>
      <c r="H444" s="4" t="s">
        <v>3909</v>
      </c>
      <c r="I444" s="4" t="s">
        <v>21</v>
      </c>
      <c r="J444" s="4" t="s">
        <v>3904</v>
      </c>
      <c r="K444" s="4" t="s">
        <v>23</v>
      </c>
      <c r="L444" s="4" t="s">
        <v>3905</v>
      </c>
      <c r="M444" s="4" t="s">
        <v>20</v>
      </c>
      <c r="N444" s="7" t="n">
        <v>3</v>
      </c>
      <c r="O444" s="4" t="s">
        <v>3906</v>
      </c>
      <c r="P444" s="10" t="n">
        <v>0.7861</v>
      </c>
    </row>
    <row r="445" customFormat="false" ht="15" hidden="false" customHeight="false" outlineLevel="0" collapsed="false">
      <c r="A445" s="4" t="s">
        <v>3468</v>
      </c>
      <c r="B445" s="7" t="n">
        <v>2024</v>
      </c>
      <c r="C445" s="4" t="s">
        <v>18</v>
      </c>
      <c r="D445" s="4" t="s">
        <v>3915</v>
      </c>
      <c r="E445" s="4" t="s">
        <v>24</v>
      </c>
      <c r="F445" s="4" t="s">
        <v>3916</v>
      </c>
      <c r="G445" s="4" t="s">
        <v>21</v>
      </c>
      <c r="H445" s="4" t="s">
        <v>3917</v>
      </c>
      <c r="I445" s="4" t="s">
        <v>21</v>
      </c>
      <c r="J445" s="4" t="s">
        <v>3904</v>
      </c>
      <c r="K445" s="4" t="s">
        <v>22</v>
      </c>
      <c r="L445" s="4" t="s">
        <v>3905</v>
      </c>
      <c r="M445" s="4" t="s">
        <v>21</v>
      </c>
      <c r="N445" s="7" t="n">
        <v>2</v>
      </c>
      <c r="O445" s="4" t="s">
        <v>3910</v>
      </c>
      <c r="P445" s="11"/>
    </row>
    <row r="446" customFormat="false" ht="15" hidden="false" customHeight="false" outlineLevel="0" collapsed="false">
      <c r="A446" s="4" t="s">
        <v>3475</v>
      </c>
      <c r="B446" s="7" t="n">
        <v>2024</v>
      </c>
      <c r="C446" s="4" t="s">
        <v>15</v>
      </c>
      <c r="D446" s="4" t="s">
        <v>3907</v>
      </c>
      <c r="E446" s="4" t="s">
        <v>20</v>
      </c>
      <c r="F446" s="4" t="s">
        <v>3908</v>
      </c>
      <c r="G446" s="4" t="s">
        <v>21</v>
      </c>
      <c r="H446" s="4" t="s">
        <v>3909</v>
      </c>
      <c r="I446" s="4" t="s">
        <v>24</v>
      </c>
      <c r="J446" s="4" t="s">
        <v>3904</v>
      </c>
      <c r="K446" s="4" t="s">
        <v>23</v>
      </c>
      <c r="L446" s="4" t="s">
        <v>3905</v>
      </c>
      <c r="M446" s="4" t="s">
        <v>21</v>
      </c>
      <c r="N446" s="7" t="n">
        <v>2</v>
      </c>
      <c r="O446" s="4" t="s">
        <v>3910</v>
      </c>
      <c r="P446" s="11"/>
    </row>
    <row r="447" customFormat="false" ht="15" hidden="false" customHeight="false" outlineLevel="0" collapsed="false">
      <c r="A447" s="4" t="s">
        <v>3483</v>
      </c>
      <c r="B447" s="7" t="n">
        <v>2021</v>
      </c>
      <c r="C447" s="4" t="s">
        <v>14</v>
      </c>
      <c r="D447" s="4" t="s">
        <v>3914</v>
      </c>
      <c r="E447" s="4" t="s">
        <v>21</v>
      </c>
      <c r="F447" s="4" t="s">
        <v>3908</v>
      </c>
      <c r="G447" s="4" t="s">
        <v>23</v>
      </c>
      <c r="H447" s="4" t="s">
        <v>3909</v>
      </c>
      <c r="I447" s="4" t="s">
        <v>21</v>
      </c>
      <c r="J447" s="4" t="s">
        <v>3904</v>
      </c>
      <c r="K447" s="4" t="s">
        <v>21</v>
      </c>
      <c r="L447" s="4" t="s">
        <v>3905</v>
      </c>
      <c r="M447" s="4" t="s">
        <v>21</v>
      </c>
      <c r="N447" s="7" t="n">
        <v>3</v>
      </c>
      <c r="O447" s="4" t="s">
        <v>3906</v>
      </c>
      <c r="P447" s="10" t="n">
        <v>0.7297</v>
      </c>
    </row>
    <row r="448" customFormat="false" ht="15" hidden="false" customHeight="false" outlineLevel="0" collapsed="false">
      <c r="A448" s="4" t="s">
        <v>3491</v>
      </c>
      <c r="B448" s="7" t="n">
        <v>2021</v>
      </c>
      <c r="C448" s="4" t="s">
        <v>14</v>
      </c>
      <c r="D448" s="4" t="s">
        <v>3914</v>
      </c>
      <c r="E448" s="4" t="s">
        <v>22</v>
      </c>
      <c r="F448" s="4" t="s">
        <v>3908</v>
      </c>
      <c r="G448" s="4" t="s">
        <v>22</v>
      </c>
      <c r="H448" s="4" t="s">
        <v>3909</v>
      </c>
      <c r="I448" s="4" t="s">
        <v>22</v>
      </c>
      <c r="J448" s="4" t="s">
        <v>3904</v>
      </c>
      <c r="K448" s="4" t="s">
        <v>20</v>
      </c>
      <c r="L448" s="4" t="s">
        <v>3905</v>
      </c>
      <c r="M448" s="4" t="s">
        <v>20</v>
      </c>
      <c r="N448" s="7" t="n">
        <v>3</v>
      </c>
      <c r="O448" s="4" t="s">
        <v>3906</v>
      </c>
      <c r="P448" s="10" t="n">
        <v>-0.88</v>
      </c>
    </row>
    <row r="449" customFormat="false" ht="15" hidden="false" customHeight="false" outlineLevel="0" collapsed="false">
      <c r="A449" s="4" t="s">
        <v>3497</v>
      </c>
      <c r="B449" s="7" t="n">
        <v>2024</v>
      </c>
      <c r="C449" s="4" t="s">
        <v>16</v>
      </c>
      <c r="D449" s="4" t="s">
        <v>3911</v>
      </c>
      <c r="E449" s="4" t="s">
        <v>22</v>
      </c>
      <c r="F449" s="4" t="s">
        <v>3912</v>
      </c>
      <c r="G449" s="4" t="s">
        <v>23</v>
      </c>
      <c r="H449" s="4" t="s">
        <v>3913</v>
      </c>
      <c r="I449" s="4" t="s">
        <v>22</v>
      </c>
      <c r="J449" s="4" t="s">
        <v>3904</v>
      </c>
      <c r="K449" s="4" t="s">
        <v>20</v>
      </c>
      <c r="L449" s="4" t="s">
        <v>3905</v>
      </c>
      <c r="M449" s="4" t="s">
        <v>20</v>
      </c>
      <c r="N449" s="7" t="n">
        <v>3</v>
      </c>
      <c r="O449" s="4" t="s">
        <v>3906</v>
      </c>
      <c r="P449" s="10" t="n">
        <v>0.2783</v>
      </c>
    </row>
    <row r="450" customFormat="false" ht="15" hidden="false" customHeight="false" outlineLevel="0" collapsed="false">
      <c r="A450" s="4" t="s">
        <v>3505</v>
      </c>
      <c r="B450" s="7" t="n">
        <v>2024</v>
      </c>
      <c r="C450" s="4" t="s">
        <v>15</v>
      </c>
      <c r="D450" s="4" t="s">
        <v>3907</v>
      </c>
      <c r="E450" s="4" t="s">
        <v>24</v>
      </c>
      <c r="F450" s="4" t="s">
        <v>3908</v>
      </c>
      <c r="G450" s="4" t="s">
        <v>20</v>
      </c>
      <c r="H450" s="4" t="s">
        <v>3909</v>
      </c>
      <c r="I450" s="4" t="s">
        <v>22</v>
      </c>
      <c r="J450" s="4" t="s">
        <v>3904</v>
      </c>
      <c r="K450" s="4" t="s">
        <v>23</v>
      </c>
      <c r="L450" s="4" t="s">
        <v>3905</v>
      </c>
      <c r="M450" s="4" t="s">
        <v>21</v>
      </c>
      <c r="N450" s="7" t="n">
        <v>2</v>
      </c>
      <c r="O450" s="4" t="s">
        <v>3910</v>
      </c>
      <c r="P450" s="11"/>
    </row>
    <row r="451" customFormat="false" ht="15" hidden="false" customHeight="false" outlineLevel="0" collapsed="false">
      <c r="A451" s="4" t="s">
        <v>3513</v>
      </c>
      <c r="B451" s="7" t="n">
        <v>2022</v>
      </c>
      <c r="C451" s="4" t="s">
        <v>15</v>
      </c>
      <c r="D451" s="4" t="s">
        <v>3907</v>
      </c>
      <c r="E451" s="4" t="s">
        <v>22</v>
      </c>
      <c r="F451" s="4" t="s">
        <v>3908</v>
      </c>
      <c r="G451" s="4" t="s">
        <v>21</v>
      </c>
      <c r="H451" s="4" t="s">
        <v>3909</v>
      </c>
      <c r="I451" s="4" t="s">
        <v>20</v>
      </c>
      <c r="J451" s="4" t="s">
        <v>3904</v>
      </c>
      <c r="K451" s="4" t="s">
        <v>20</v>
      </c>
      <c r="L451" s="4" t="s">
        <v>3905</v>
      </c>
      <c r="M451" s="4" t="s">
        <v>21</v>
      </c>
      <c r="N451" s="7" t="n">
        <v>3</v>
      </c>
      <c r="O451" s="4" t="s">
        <v>3906</v>
      </c>
      <c r="P451" s="10" t="n">
        <v>-1.0929</v>
      </c>
    </row>
    <row r="452" customFormat="false" ht="15" hidden="false" customHeight="false" outlineLevel="0" collapsed="false">
      <c r="A452" s="4" t="s">
        <v>3520</v>
      </c>
      <c r="B452" s="7" t="n">
        <v>2023</v>
      </c>
      <c r="C452" s="4" t="s">
        <v>15</v>
      </c>
      <c r="D452" s="4" t="s">
        <v>3907</v>
      </c>
      <c r="E452" s="4" t="s">
        <v>23</v>
      </c>
      <c r="F452" s="4" t="s">
        <v>3908</v>
      </c>
      <c r="G452" s="4" t="s">
        <v>20</v>
      </c>
      <c r="H452" s="4" t="s">
        <v>3909</v>
      </c>
      <c r="I452" s="4" t="s">
        <v>22</v>
      </c>
      <c r="J452" s="4" t="s">
        <v>3904</v>
      </c>
      <c r="K452" s="4" t="s">
        <v>23</v>
      </c>
      <c r="L452" s="4" t="s">
        <v>3905</v>
      </c>
      <c r="M452" s="4" t="s">
        <v>22</v>
      </c>
      <c r="N452" s="7" t="n">
        <v>3</v>
      </c>
      <c r="O452" s="4" t="s">
        <v>3906</v>
      </c>
      <c r="P452" s="10" t="n">
        <v>-1.1258</v>
      </c>
    </row>
    <row r="453" customFormat="false" ht="15" hidden="false" customHeight="false" outlineLevel="0" collapsed="false">
      <c r="A453" s="4" t="s">
        <v>3527</v>
      </c>
      <c r="B453" s="7" t="n">
        <v>2024</v>
      </c>
      <c r="C453" s="4" t="s">
        <v>14</v>
      </c>
      <c r="D453" s="4" t="s">
        <v>3914</v>
      </c>
      <c r="E453" s="4" t="s">
        <v>22</v>
      </c>
      <c r="F453" s="4" t="s">
        <v>3908</v>
      </c>
      <c r="G453" s="4" t="s">
        <v>23</v>
      </c>
      <c r="H453" s="4" t="s">
        <v>3909</v>
      </c>
      <c r="I453" s="4" t="s">
        <v>23</v>
      </c>
      <c r="J453" s="4" t="s">
        <v>3904</v>
      </c>
      <c r="K453" s="4" t="s">
        <v>21</v>
      </c>
      <c r="L453" s="4" t="s">
        <v>3905</v>
      </c>
      <c r="M453" s="4" t="s">
        <v>20</v>
      </c>
      <c r="N453" s="7" t="n">
        <v>3</v>
      </c>
      <c r="O453" s="4" t="s">
        <v>3906</v>
      </c>
      <c r="P453" s="10" t="n">
        <v>-0.3535</v>
      </c>
    </row>
    <row r="454" customFormat="false" ht="15" hidden="false" customHeight="false" outlineLevel="0" collapsed="false">
      <c r="A454" s="4" t="s">
        <v>3533</v>
      </c>
      <c r="B454" s="7" t="n">
        <v>2023</v>
      </c>
      <c r="C454" s="4" t="s">
        <v>14</v>
      </c>
      <c r="D454" s="4" t="s">
        <v>3914</v>
      </c>
      <c r="E454" s="4" t="s">
        <v>20</v>
      </c>
      <c r="F454" s="4" t="s">
        <v>3908</v>
      </c>
      <c r="G454" s="4" t="s">
        <v>23</v>
      </c>
      <c r="H454" s="4" t="s">
        <v>3909</v>
      </c>
      <c r="I454" s="4" t="s">
        <v>22</v>
      </c>
      <c r="J454" s="4" t="s">
        <v>3904</v>
      </c>
      <c r="K454" s="4" t="s">
        <v>23</v>
      </c>
      <c r="L454" s="4" t="s">
        <v>3905</v>
      </c>
      <c r="M454" s="4" t="s">
        <v>22</v>
      </c>
      <c r="N454" s="7" t="n">
        <v>3</v>
      </c>
      <c r="O454" s="4" t="s">
        <v>3906</v>
      </c>
      <c r="P454" s="10" t="n">
        <v>2.0573</v>
      </c>
    </row>
    <row r="455" customFormat="false" ht="15" hidden="false" customHeight="false" outlineLevel="0" collapsed="false">
      <c r="A455" s="4" t="s">
        <v>3539</v>
      </c>
      <c r="B455" s="7" t="n">
        <v>2025</v>
      </c>
      <c r="C455" s="4" t="s">
        <v>14</v>
      </c>
      <c r="D455" s="4" t="s">
        <v>3914</v>
      </c>
      <c r="E455" s="4" t="s">
        <v>21</v>
      </c>
      <c r="F455" s="4" t="s">
        <v>3908</v>
      </c>
      <c r="G455" s="4" t="s">
        <v>21</v>
      </c>
      <c r="H455" s="4" t="s">
        <v>3909</v>
      </c>
      <c r="I455" s="4" t="s">
        <v>23</v>
      </c>
      <c r="J455" s="4" t="s">
        <v>3904</v>
      </c>
      <c r="K455" s="4" t="s">
        <v>22</v>
      </c>
      <c r="L455" s="4" t="s">
        <v>3905</v>
      </c>
      <c r="M455" s="4" t="s">
        <v>21</v>
      </c>
      <c r="N455" s="7" t="n">
        <v>3</v>
      </c>
      <c r="O455" s="4" t="s">
        <v>3906</v>
      </c>
      <c r="P455" s="10" t="n">
        <v>-1.2734</v>
      </c>
    </row>
    <row r="456" customFormat="false" ht="15" hidden="false" customHeight="false" outlineLevel="0" collapsed="false">
      <c r="A456" s="4" t="s">
        <v>3547</v>
      </c>
      <c r="B456" s="7" t="n">
        <v>2024</v>
      </c>
      <c r="C456" s="4" t="s">
        <v>16</v>
      </c>
      <c r="D456" s="4" t="s">
        <v>3911</v>
      </c>
      <c r="E456" s="4" t="s">
        <v>24</v>
      </c>
      <c r="F456" s="4" t="s">
        <v>3912</v>
      </c>
      <c r="G456" s="4" t="s">
        <v>24</v>
      </c>
      <c r="H456" s="4" t="s">
        <v>3913</v>
      </c>
      <c r="I456" s="4" t="s">
        <v>23</v>
      </c>
      <c r="J456" s="4" t="s">
        <v>3904</v>
      </c>
      <c r="K456" s="4" t="s">
        <v>20</v>
      </c>
      <c r="L456" s="4" t="s">
        <v>3905</v>
      </c>
      <c r="M456" s="4" t="s">
        <v>24</v>
      </c>
      <c r="N456" s="7" t="n">
        <v>1</v>
      </c>
      <c r="O456" s="4" t="s">
        <v>3910</v>
      </c>
      <c r="P456" s="11"/>
    </row>
    <row r="457" customFormat="false" ht="15" hidden="false" customHeight="false" outlineLevel="0" collapsed="false">
      <c r="A457" s="4" t="s">
        <v>3553</v>
      </c>
      <c r="B457" s="7" t="n">
        <v>2023</v>
      </c>
      <c r="C457" s="4" t="s">
        <v>14</v>
      </c>
      <c r="D457" s="4" t="s">
        <v>3914</v>
      </c>
      <c r="E457" s="4" t="s">
        <v>21</v>
      </c>
      <c r="F457" s="4" t="s">
        <v>3908</v>
      </c>
      <c r="G457" s="4" t="s">
        <v>20</v>
      </c>
      <c r="H457" s="4" t="s">
        <v>3909</v>
      </c>
      <c r="I457" s="4" t="s">
        <v>21</v>
      </c>
      <c r="J457" s="4" t="s">
        <v>3904</v>
      </c>
      <c r="K457" s="4" t="s">
        <v>23</v>
      </c>
      <c r="L457" s="4" t="s">
        <v>3905</v>
      </c>
      <c r="M457" s="4" t="s">
        <v>23</v>
      </c>
      <c r="N457" s="7" t="n">
        <v>3</v>
      </c>
      <c r="O457" s="4" t="s">
        <v>3906</v>
      </c>
      <c r="P457" s="10" t="n">
        <v>0.5902</v>
      </c>
    </row>
    <row r="458" customFormat="false" ht="15" hidden="false" customHeight="false" outlineLevel="0" collapsed="false">
      <c r="A458" s="4" t="s">
        <v>3561</v>
      </c>
      <c r="B458" s="7" t="n">
        <v>2024</v>
      </c>
      <c r="C458" s="4" t="s">
        <v>18</v>
      </c>
      <c r="D458" s="4" t="s">
        <v>3915</v>
      </c>
      <c r="E458" s="4" t="s">
        <v>22</v>
      </c>
      <c r="F458" s="4" t="s">
        <v>3916</v>
      </c>
      <c r="G458" s="4" t="s">
        <v>20</v>
      </c>
      <c r="H458" s="4" t="s">
        <v>3917</v>
      </c>
      <c r="I458" s="4" t="s">
        <v>23</v>
      </c>
      <c r="J458" s="4" t="s">
        <v>3904</v>
      </c>
      <c r="K458" s="4" t="s">
        <v>21</v>
      </c>
      <c r="L458" s="4" t="s">
        <v>3905</v>
      </c>
      <c r="M458" s="4" t="s">
        <v>23</v>
      </c>
      <c r="N458" s="7" t="n">
        <v>3</v>
      </c>
      <c r="O458" s="4" t="s">
        <v>3906</v>
      </c>
      <c r="P458" s="10" t="n">
        <v>0.091</v>
      </c>
    </row>
    <row r="459" customFormat="false" ht="15" hidden="false" customHeight="false" outlineLevel="0" collapsed="false">
      <c r="A459" s="4" t="s">
        <v>3569</v>
      </c>
      <c r="B459" s="7" t="n">
        <v>2025</v>
      </c>
      <c r="C459" s="4" t="s">
        <v>15</v>
      </c>
      <c r="D459" s="4" t="s">
        <v>3907</v>
      </c>
      <c r="E459" s="4" t="s">
        <v>23</v>
      </c>
      <c r="F459" s="4" t="s">
        <v>3908</v>
      </c>
      <c r="G459" s="4" t="s">
        <v>24</v>
      </c>
      <c r="H459" s="4" t="s">
        <v>3909</v>
      </c>
      <c r="I459" s="4" t="s">
        <v>23</v>
      </c>
      <c r="J459" s="4" t="s">
        <v>3904</v>
      </c>
      <c r="K459" s="4" t="s">
        <v>21</v>
      </c>
      <c r="L459" s="4" t="s">
        <v>3905</v>
      </c>
      <c r="M459" s="4" t="s">
        <v>24</v>
      </c>
      <c r="N459" s="7" t="n">
        <v>2</v>
      </c>
      <c r="O459" s="4" t="s">
        <v>3910</v>
      </c>
      <c r="P459" s="11"/>
    </row>
    <row r="460" customFormat="false" ht="15" hidden="false" customHeight="false" outlineLevel="0" collapsed="false">
      <c r="A460" s="4" t="s">
        <v>3577</v>
      </c>
      <c r="B460" s="7" t="n">
        <v>2022</v>
      </c>
      <c r="C460" s="4" t="s">
        <v>18</v>
      </c>
      <c r="D460" s="4" t="s">
        <v>3915</v>
      </c>
      <c r="E460" s="4" t="s">
        <v>24</v>
      </c>
      <c r="F460" s="4" t="s">
        <v>3916</v>
      </c>
      <c r="G460" s="4" t="s">
        <v>22</v>
      </c>
      <c r="H460" s="4" t="s">
        <v>3917</v>
      </c>
      <c r="I460" s="4" t="s">
        <v>22</v>
      </c>
      <c r="J460" s="4" t="s">
        <v>3904</v>
      </c>
      <c r="K460" s="4" t="s">
        <v>24</v>
      </c>
      <c r="L460" s="4" t="s">
        <v>3905</v>
      </c>
      <c r="M460" s="4" t="s">
        <v>20</v>
      </c>
      <c r="N460" s="7" t="n">
        <v>2</v>
      </c>
      <c r="O460" s="4" t="s">
        <v>3910</v>
      </c>
      <c r="P460" s="11"/>
    </row>
    <row r="461" customFormat="false" ht="15" hidden="false" customHeight="false" outlineLevel="0" collapsed="false">
      <c r="A461" s="4" t="s">
        <v>3584</v>
      </c>
      <c r="B461" s="7" t="n">
        <v>2025</v>
      </c>
      <c r="C461" s="4" t="s">
        <v>15</v>
      </c>
      <c r="D461" s="4" t="s">
        <v>3907</v>
      </c>
      <c r="E461" s="4" t="s">
        <v>22</v>
      </c>
      <c r="F461" s="4" t="s">
        <v>3908</v>
      </c>
      <c r="G461" s="4" t="s">
        <v>23</v>
      </c>
      <c r="H461" s="4" t="s">
        <v>3909</v>
      </c>
      <c r="I461" s="4" t="s">
        <v>21</v>
      </c>
      <c r="J461" s="4" t="s">
        <v>3904</v>
      </c>
      <c r="K461" s="4" t="s">
        <v>21</v>
      </c>
      <c r="L461" s="4" t="s">
        <v>3905</v>
      </c>
      <c r="M461" s="4" t="s">
        <v>23</v>
      </c>
      <c r="N461" s="7" t="n">
        <v>3</v>
      </c>
      <c r="O461" s="4" t="s">
        <v>3906</v>
      </c>
      <c r="P461" s="10" t="n">
        <v>-1.3995</v>
      </c>
    </row>
    <row r="462" customFormat="false" ht="15" hidden="false" customHeight="false" outlineLevel="0" collapsed="false">
      <c r="A462" s="4" t="s">
        <v>3592</v>
      </c>
      <c r="B462" s="7" t="n">
        <v>2023</v>
      </c>
      <c r="C462" s="4" t="s">
        <v>16</v>
      </c>
      <c r="D462" s="4" t="s">
        <v>3911</v>
      </c>
      <c r="E462" s="4" t="s">
        <v>22</v>
      </c>
      <c r="F462" s="4" t="s">
        <v>3912</v>
      </c>
      <c r="G462" s="4" t="s">
        <v>22</v>
      </c>
      <c r="H462" s="4" t="s">
        <v>3913</v>
      </c>
      <c r="I462" s="4" t="s">
        <v>21</v>
      </c>
      <c r="J462" s="4" t="s">
        <v>3904</v>
      </c>
      <c r="K462" s="4" t="s">
        <v>23</v>
      </c>
      <c r="L462" s="4" t="s">
        <v>3905</v>
      </c>
      <c r="M462" s="4" t="s">
        <v>21</v>
      </c>
      <c r="N462" s="7" t="n">
        <v>3</v>
      </c>
      <c r="O462" s="4" t="s">
        <v>3906</v>
      </c>
      <c r="P462" s="10" t="n">
        <v>2.0407</v>
      </c>
    </row>
    <row r="463" customFormat="false" ht="15" hidden="false" customHeight="false" outlineLevel="0" collapsed="false">
      <c r="A463" s="4" t="s">
        <v>3600</v>
      </c>
      <c r="B463" s="7" t="n">
        <v>2025</v>
      </c>
      <c r="C463" s="4" t="s">
        <v>16</v>
      </c>
      <c r="D463" s="4" t="s">
        <v>3911</v>
      </c>
      <c r="E463" s="4" t="s">
        <v>20</v>
      </c>
      <c r="F463" s="4" t="s">
        <v>3912</v>
      </c>
      <c r="G463" s="4" t="s">
        <v>22</v>
      </c>
      <c r="H463" s="4" t="s">
        <v>3913</v>
      </c>
      <c r="I463" s="4" t="s">
        <v>20</v>
      </c>
      <c r="J463" s="4" t="s">
        <v>3904</v>
      </c>
      <c r="K463" s="4" t="s">
        <v>20</v>
      </c>
      <c r="L463" s="4" t="s">
        <v>3905</v>
      </c>
      <c r="M463" s="4" t="s">
        <v>21</v>
      </c>
      <c r="N463" s="7" t="n">
        <v>3</v>
      </c>
      <c r="O463" s="4" t="s">
        <v>3906</v>
      </c>
      <c r="P463" s="10" t="n">
        <v>-0.1686</v>
      </c>
    </row>
    <row r="464" customFormat="false" ht="15" hidden="false" customHeight="false" outlineLevel="0" collapsed="false">
      <c r="A464" s="4" t="s">
        <v>3607</v>
      </c>
      <c r="B464" s="7" t="n">
        <v>2025</v>
      </c>
      <c r="C464" s="4" t="s">
        <v>14</v>
      </c>
      <c r="D464" s="4" t="s">
        <v>3914</v>
      </c>
      <c r="E464" s="4" t="s">
        <v>22</v>
      </c>
      <c r="F464" s="4" t="s">
        <v>3908</v>
      </c>
      <c r="G464" s="4" t="s">
        <v>21</v>
      </c>
      <c r="H464" s="4" t="s">
        <v>3909</v>
      </c>
      <c r="I464" s="4" t="s">
        <v>23</v>
      </c>
      <c r="J464" s="4" t="s">
        <v>3904</v>
      </c>
      <c r="K464" s="4" t="s">
        <v>22</v>
      </c>
      <c r="L464" s="4" t="s">
        <v>3905</v>
      </c>
      <c r="M464" s="4" t="s">
        <v>20</v>
      </c>
      <c r="N464" s="7" t="n">
        <v>3</v>
      </c>
      <c r="O464" s="4" t="s">
        <v>3906</v>
      </c>
      <c r="P464" s="10" t="n">
        <v>-0.8908</v>
      </c>
    </row>
    <row r="465" customFormat="false" ht="15" hidden="false" customHeight="false" outlineLevel="0" collapsed="false">
      <c r="A465" s="4" t="s">
        <v>3614</v>
      </c>
      <c r="B465" s="7" t="n">
        <v>2023</v>
      </c>
      <c r="C465" s="4" t="s">
        <v>17</v>
      </c>
      <c r="D465" s="4" t="s">
        <v>3901</v>
      </c>
      <c r="E465" s="4" t="s">
        <v>21</v>
      </c>
      <c r="F465" s="4" t="s">
        <v>3902</v>
      </c>
      <c r="G465" s="4" t="s">
        <v>23</v>
      </c>
      <c r="H465" s="4" t="s">
        <v>3903</v>
      </c>
      <c r="I465" s="4" t="s">
        <v>21</v>
      </c>
      <c r="J465" s="4" t="s">
        <v>3904</v>
      </c>
      <c r="K465" s="4" t="s">
        <v>21</v>
      </c>
      <c r="L465" s="4" t="s">
        <v>3905</v>
      </c>
      <c r="M465" s="4" t="s">
        <v>20</v>
      </c>
      <c r="N465" s="7" t="n">
        <v>3</v>
      </c>
      <c r="O465" s="4" t="s">
        <v>3906</v>
      </c>
      <c r="P465" s="10" t="n">
        <v>2.0601</v>
      </c>
    </row>
    <row r="466" customFormat="false" ht="15" hidden="false" customHeight="false" outlineLevel="0" collapsed="false">
      <c r="A466" s="4" t="s">
        <v>3622</v>
      </c>
      <c r="B466" s="7" t="n">
        <v>2024</v>
      </c>
      <c r="C466" s="4" t="s">
        <v>18</v>
      </c>
      <c r="D466" s="4" t="s">
        <v>3915</v>
      </c>
      <c r="E466" s="4" t="s">
        <v>22</v>
      </c>
      <c r="F466" s="4" t="s">
        <v>3916</v>
      </c>
      <c r="G466" s="4" t="s">
        <v>21</v>
      </c>
      <c r="H466" s="4" t="s">
        <v>3917</v>
      </c>
      <c r="I466" s="4" t="s">
        <v>21</v>
      </c>
      <c r="J466" s="4" t="s">
        <v>3904</v>
      </c>
      <c r="K466" s="4" t="s">
        <v>21</v>
      </c>
      <c r="L466" s="4" t="s">
        <v>3905</v>
      </c>
      <c r="M466" s="4" t="s">
        <v>23</v>
      </c>
      <c r="N466" s="7" t="n">
        <v>3</v>
      </c>
      <c r="O466" s="4" t="s">
        <v>3906</v>
      </c>
      <c r="P466" s="10" t="n">
        <v>-0.4093</v>
      </c>
    </row>
    <row r="467" customFormat="false" ht="15" hidden="false" customHeight="false" outlineLevel="0" collapsed="false">
      <c r="A467" s="4" t="s">
        <v>3629</v>
      </c>
      <c r="B467" s="7" t="n">
        <v>2024</v>
      </c>
      <c r="C467" s="4" t="s">
        <v>14</v>
      </c>
      <c r="D467" s="4" t="s">
        <v>3914</v>
      </c>
      <c r="E467" s="4" t="s">
        <v>22</v>
      </c>
      <c r="F467" s="4" t="s">
        <v>3908</v>
      </c>
      <c r="G467" s="4" t="s">
        <v>21</v>
      </c>
      <c r="H467" s="4" t="s">
        <v>3909</v>
      </c>
      <c r="I467" s="4" t="s">
        <v>23</v>
      </c>
      <c r="J467" s="4" t="s">
        <v>3904</v>
      </c>
      <c r="K467" s="4" t="s">
        <v>22</v>
      </c>
      <c r="L467" s="4" t="s">
        <v>3905</v>
      </c>
      <c r="M467" s="4" t="s">
        <v>21</v>
      </c>
      <c r="N467" s="7" t="n">
        <v>3</v>
      </c>
      <c r="O467" s="4" t="s">
        <v>3906</v>
      </c>
      <c r="P467" s="10" t="n">
        <v>1.3193</v>
      </c>
    </row>
    <row r="468" customFormat="false" ht="15" hidden="false" customHeight="false" outlineLevel="0" collapsed="false">
      <c r="A468" s="4" t="s">
        <v>3637</v>
      </c>
      <c r="B468" s="7" t="n">
        <v>2023</v>
      </c>
      <c r="C468" s="4" t="s">
        <v>16</v>
      </c>
      <c r="D468" s="4" t="s">
        <v>3911</v>
      </c>
      <c r="E468" s="4" t="s">
        <v>22</v>
      </c>
      <c r="F468" s="4" t="s">
        <v>3912</v>
      </c>
      <c r="G468" s="4" t="s">
        <v>21</v>
      </c>
      <c r="H468" s="4" t="s">
        <v>3913</v>
      </c>
      <c r="I468" s="4" t="s">
        <v>21</v>
      </c>
      <c r="J468" s="4" t="s">
        <v>3904</v>
      </c>
      <c r="K468" s="4" t="s">
        <v>22</v>
      </c>
      <c r="L468" s="4" t="s">
        <v>3905</v>
      </c>
      <c r="M468" s="4" t="s">
        <v>23</v>
      </c>
      <c r="N468" s="7" t="n">
        <v>3</v>
      </c>
      <c r="O468" s="4" t="s">
        <v>3906</v>
      </c>
      <c r="P468" s="10" t="n">
        <v>2.1658</v>
      </c>
    </row>
    <row r="469" customFormat="false" ht="15" hidden="false" customHeight="false" outlineLevel="0" collapsed="false">
      <c r="A469" s="4" t="s">
        <v>3644</v>
      </c>
      <c r="B469" s="7" t="n">
        <v>2025</v>
      </c>
      <c r="C469" s="4" t="s">
        <v>14</v>
      </c>
      <c r="D469" s="4" t="s">
        <v>3914</v>
      </c>
      <c r="E469" s="4" t="s">
        <v>22</v>
      </c>
      <c r="F469" s="4" t="s">
        <v>3908</v>
      </c>
      <c r="G469" s="4" t="s">
        <v>20</v>
      </c>
      <c r="H469" s="4" t="s">
        <v>3909</v>
      </c>
      <c r="I469" s="4" t="s">
        <v>21</v>
      </c>
      <c r="J469" s="4" t="s">
        <v>3904</v>
      </c>
      <c r="K469" s="4" t="s">
        <v>22</v>
      </c>
      <c r="L469" s="4" t="s">
        <v>3905</v>
      </c>
      <c r="M469" s="4" t="s">
        <v>23</v>
      </c>
      <c r="N469" s="7" t="n">
        <v>3</v>
      </c>
      <c r="O469" s="4" t="s">
        <v>3906</v>
      </c>
      <c r="P469" s="10" t="n">
        <v>-1.0431</v>
      </c>
    </row>
    <row r="470" customFormat="false" ht="15" hidden="false" customHeight="false" outlineLevel="0" collapsed="false">
      <c r="A470" s="4" t="s">
        <v>3651</v>
      </c>
      <c r="B470" s="7" t="n">
        <v>2024</v>
      </c>
      <c r="C470" s="4" t="s">
        <v>15</v>
      </c>
      <c r="D470" s="4" t="s">
        <v>3907</v>
      </c>
      <c r="E470" s="4" t="s">
        <v>20</v>
      </c>
      <c r="F470" s="4" t="s">
        <v>3908</v>
      </c>
      <c r="G470" s="4" t="s">
        <v>21</v>
      </c>
      <c r="H470" s="4" t="s">
        <v>3909</v>
      </c>
      <c r="I470" s="4" t="s">
        <v>21</v>
      </c>
      <c r="J470" s="4" t="s">
        <v>3904</v>
      </c>
      <c r="K470" s="4" t="s">
        <v>20</v>
      </c>
      <c r="L470" s="4" t="s">
        <v>3905</v>
      </c>
      <c r="M470" s="4" t="s">
        <v>20</v>
      </c>
      <c r="N470" s="7" t="n">
        <v>3</v>
      </c>
      <c r="O470" s="4" t="s">
        <v>3906</v>
      </c>
      <c r="P470" s="10" t="n">
        <v>1.3994</v>
      </c>
    </row>
    <row r="471" customFormat="false" ht="15" hidden="false" customHeight="false" outlineLevel="0" collapsed="false">
      <c r="A471" s="4" t="s">
        <v>3658</v>
      </c>
      <c r="B471" s="7" t="n">
        <v>2022</v>
      </c>
      <c r="C471" s="4" t="s">
        <v>18</v>
      </c>
      <c r="D471" s="4" t="s">
        <v>3915</v>
      </c>
      <c r="E471" s="4" t="s">
        <v>21</v>
      </c>
      <c r="F471" s="4" t="s">
        <v>3916</v>
      </c>
      <c r="G471" s="4" t="s">
        <v>22</v>
      </c>
      <c r="H471" s="4" t="s">
        <v>3917</v>
      </c>
      <c r="I471" s="4" t="s">
        <v>24</v>
      </c>
      <c r="J471" s="4" t="s">
        <v>3904</v>
      </c>
      <c r="K471" s="4" t="s">
        <v>21</v>
      </c>
      <c r="L471" s="4" t="s">
        <v>3905</v>
      </c>
      <c r="M471" s="4" t="s">
        <v>24</v>
      </c>
      <c r="N471" s="7" t="n">
        <v>2</v>
      </c>
      <c r="O471" s="4" t="s">
        <v>3910</v>
      </c>
      <c r="P471" s="11"/>
    </row>
    <row r="472" customFormat="false" ht="15" hidden="false" customHeight="false" outlineLevel="0" collapsed="false">
      <c r="A472" s="4" t="s">
        <v>3666</v>
      </c>
      <c r="B472" s="7" t="n">
        <v>2022</v>
      </c>
      <c r="C472" s="4" t="s">
        <v>15</v>
      </c>
      <c r="D472" s="4" t="s">
        <v>3907</v>
      </c>
      <c r="E472" s="4" t="s">
        <v>21</v>
      </c>
      <c r="F472" s="4" t="s">
        <v>3908</v>
      </c>
      <c r="G472" s="4" t="s">
        <v>21</v>
      </c>
      <c r="H472" s="4" t="s">
        <v>3909</v>
      </c>
      <c r="I472" s="4" t="s">
        <v>20</v>
      </c>
      <c r="J472" s="4" t="s">
        <v>3904</v>
      </c>
      <c r="K472" s="4" t="s">
        <v>22</v>
      </c>
      <c r="L472" s="4" t="s">
        <v>3905</v>
      </c>
      <c r="M472" s="4" t="s">
        <v>24</v>
      </c>
      <c r="N472" s="7" t="n">
        <v>3</v>
      </c>
      <c r="O472" s="4" t="s">
        <v>3906</v>
      </c>
      <c r="P472" s="10" t="n">
        <v>2.2138</v>
      </c>
    </row>
    <row r="473" customFormat="false" ht="15" hidden="false" customHeight="false" outlineLevel="0" collapsed="false">
      <c r="A473" s="4" t="s">
        <v>3673</v>
      </c>
      <c r="B473" s="7" t="n">
        <v>2024</v>
      </c>
      <c r="C473" s="4" t="s">
        <v>18</v>
      </c>
      <c r="D473" s="4" t="s">
        <v>3915</v>
      </c>
      <c r="E473" s="4" t="s">
        <v>21</v>
      </c>
      <c r="F473" s="4" t="s">
        <v>3916</v>
      </c>
      <c r="G473" s="4" t="s">
        <v>22</v>
      </c>
      <c r="H473" s="4" t="s">
        <v>3917</v>
      </c>
      <c r="I473" s="4" t="s">
        <v>20</v>
      </c>
      <c r="J473" s="4" t="s">
        <v>3904</v>
      </c>
      <c r="K473" s="4" t="s">
        <v>22</v>
      </c>
      <c r="L473" s="4" t="s">
        <v>3905</v>
      </c>
      <c r="M473" s="4" t="s">
        <v>23</v>
      </c>
      <c r="N473" s="7" t="n">
        <v>3</v>
      </c>
      <c r="O473" s="4" t="s">
        <v>3906</v>
      </c>
      <c r="P473" s="10" t="n">
        <v>1.7626</v>
      </c>
    </row>
    <row r="474" customFormat="false" ht="15" hidden="false" customHeight="false" outlineLevel="0" collapsed="false">
      <c r="A474" s="4" t="s">
        <v>3680</v>
      </c>
      <c r="B474" s="7" t="n">
        <v>2025</v>
      </c>
      <c r="C474" s="4" t="s">
        <v>15</v>
      </c>
      <c r="D474" s="4" t="s">
        <v>3907</v>
      </c>
      <c r="E474" s="4" t="s">
        <v>20</v>
      </c>
      <c r="F474" s="4" t="s">
        <v>3908</v>
      </c>
      <c r="G474" s="4" t="s">
        <v>20</v>
      </c>
      <c r="H474" s="4" t="s">
        <v>3909</v>
      </c>
      <c r="I474" s="4" t="s">
        <v>24</v>
      </c>
      <c r="J474" s="4" t="s">
        <v>3904</v>
      </c>
      <c r="K474" s="4" t="s">
        <v>24</v>
      </c>
      <c r="L474" s="4" t="s">
        <v>3905</v>
      </c>
      <c r="M474" s="4" t="s">
        <v>22</v>
      </c>
      <c r="N474" s="7" t="n">
        <v>2</v>
      </c>
      <c r="O474" s="4" t="s">
        <v>3910</v>
      </c>
      <c r="P474" s="11"/>
    </row>
    <row r="475" customFormat="false" ht="15" hidden="false" customHeight="false" outlineLevel="0" collapsed="false">
      <c r="A475" s="4" t="s">
        <v>3687</v>
      </c>
      <c r="B475" s="7" t="n">
        <v>2021</v>
      </c>
      <c r="C475" s="4" t="s">
        <v>14</v>
      </c>
      <c r="D475" s="4" t="s">
        <v>3914</v>
      </c>
      <c r="E475" s="4" t="s">
        <v>23</v>
      </c>
      <c r="F475" s="4" t="s">
        <v>3908</v>
      </c>
      <c r="G475" s="4" t="s">
        <v>22</v>
      </c>
      <c r="H475" s="4" t="s">
        <v>3909</v>
      </c>
      <c r="I475" s="4" t="s">
        <v>24</v>
      </c>
      <c r="J475" s="4" t="s">
        <v>3904</v>
      </c>
      <c r="K475" s="4" t="s">
        <v>21</v>
      </c>
      <c r="L475" s="4" t="s">
        <v>3905</v>
      </c>
      <c r="M475" s="4" t="s">
        <v>21</v>
      </c>
      <c r="N475" s="7" t="n">
        <v>2</v>
      </c>
      <c r="O475" s="4" t="s">
        <v>3910</v>
      </c>
      <c r="P475" s="11"/>
    </row>
    <row r="476" customFormat="false" ht="15" hidden="false" customHeight="false" outlineLevel="0" collapsed="false">
      <c r="A476" s="4" t="s">
        <v>3695</v>
      </c>
      <c r="B476" s="7" t="n">
        <v>2021</v>
      </c>
      <c r="C476" s="4" t="s">
        <v>14</v>
      </c>
      <c r="D476" s="4" t="s">
        <v>3914</v>
      </c>
      <c r="E476" s="4" t="s">
        <v>21</v>
      </c>
      <c r="F476" s="4" t="s">
        <v>3908</v>
      </c>
      <c r="G476" s="4" t="s">
        <v>22</v>
      </c>
      <c r="H476" s="4" t="s">
        <v>3909</v>
      </c>
      <c r="I476" s="4" t="s">
        <v>22</v>
      </c>
      <c r="J476" s="4" t="s">
        <v>3904</v>
      </c>
      <c r="K476" s="4" t="s">
        <v>24</v>
      </c>
      <c r="L476" s="4" t="s">
        <v>3905</v>
      </c>
      <c r="M476" s="4" t="s">
        <v>22</v>
      </c>
      <c r="N476" s="7" t="n">
        <v>3</v>
      </c>
      <c r="O476" s="4" t="s">
        <v>3906</v>
      </c>
      <c r="P476" s="10" t="n">
        <v>0.2632</v>
      </c>
    </row>
    <row r="477" customFormat="false" ht="15" hidden="false" customHeight="false" outlineLevel="0" collapsed="false">
      <c r="A477" s="4" t="s">
        <v>3702</v>
      </c>
      <c r="B477" s="7" t="n">
        <v>2021</v>
      </c>
      <c r="C477" s="4" t="s">
        <v>15</v>
      </c>
      <c r="D477" s="4" t="s">
        <v>3907</v>
      </c>
      <c r="E477" s="4" t="s">
        <v>21</v>
      </c>
      <c r="F477" s="4" t="s">
        <v>3908</v>
      </c>
      <c r="G477" s="4" t="s">
        <v>20</v>
      </c>
      <c r="H477" s="4" t="s">
        <v>3909</v>
      </c>
      <c r="I477" s="4" t="s">
        <v>21</v>
      </c>
      <c r="J477" s="4" t="s">
        <v>3904</v>
      </c>
      <c r="K477" s="4" t="s">
        <v>23</v>
      </c>
      <c r="L477" s="4" t="s">
        <v>3905</v>
      </c>
      <c r="M477" s="4" t="s">
        <v>22</v>
      </c>
      <c r="N477" s="7" t="n">
        <v>3</v>
      </c>
      <c r="O477" s="4" t="s">
        <v>3906</v>
      </c>
      <c r="P477" s="10" t="n">
        <v>-0.9212</v>
      </c>
    </row>
    <row r="478" customFormat="false" ht="15" hidden="false" customHeight="false" outlineLevel="0" collapsed="false">
      <c r="A478" s="4" t="s">
        <v>3710</v>
      </c>
      <c r="B478" s="7" t="n">
        <v>2021</v>
      </c>
      <c r="C478" s="4" t="s">
        <v>16</v>
      </c>
      <c r="D478" s="4" t="s">
        <v>3911</v>
      </c>
      <c r="E478" s="4" t="s">
        <v>22</v>
      </c>
      <c r="F478" s="4" t="s">
        <v>3912</v>
      </c>
      <c r="G478" s="4" t="s">
        <v>21</v>
      </c>
      <c r="H478" s="4" t="s">
        <v>3913</v>
      </c>
      <c r="I478" s="4" t="s">
        <v>24</v>
      </c>
      <c r="J478" s="4" t="s">
        <v>3904</v>
      </c>
      <c r="K478" s="4" t="s">
        <v>21</v>
      </c>
      <c r="L478" s="4" t="s">
        <v>3905</v>
      </c>
      <c r="M478" s="4" t="s">
        <v>21</v>
      </c>
      <c r="N478" s="7" t="n">
        <v>2</v>
      </c>
      <c r="O478" s="4" t="s">
        <v>3910</v>
      </c>
      <c r="P478" s="11"/>
    </row>
    <row r="479" customFormat="false" ht="15" hidden="false" customHeight="false" outlineLevel="0" collapsed="false">
      <c r="A479" s="4" t="s">
        <v>3718</v>
      </c>
      <c r="B479" s="7" t="n">
        <v>2023</v>
      </c>
      <c r="C479" s="4" t="s">
        <v>18</v>
      </c>
      <c r="D479" s="4" t="s">
        <v>3915</v>
      </c>
      <c r="E479" s="4" t="s">
        <v>24</v>
      </c>
      <c r="F479" s="4" t="s">
        <v>3916</v>
      </c>
      <c r="G479" s="4" t="s">
        <v>20</v>
      </c>
      <c r="H479" s="4" t="s">
        <v>3917</v>
      </c>
      <c r="I479" s="4" t="s">
        <v>21</v>
      </c>
      <c r="J479" s="4" t="s">
        <v>3904</v>
      </c>
      <c r="K479" s="4" t="s">
        <v>22</v>
      </c>
      <c r="L479" s="4" t="s">
        <v>3905</v>
      </c>
      <c r="M479" s="4" t="s">
        <v>23</v>
      </c>
      <c r="N479" s="7" t="n">
        <v>2</v>
      </c>
      <c r="O479" s="4" t="s">
        <v>3910</v>
      </c>
      <c r="P479" s="11"/>
    </row>
    <row r="480" customFormat="false" ht="15" hidden="false" customHeight="false" outlineLevel="0" collapsed="false">
      <c r="A480" s="4" t="s">
        <v>3726</v>
      </c>
      <c r="B480" s="7" t="n">
        <v>2023</v>
      </c>
      <c r="C480" s="4" t="s">
        <v>18</v>
      </c>
      <c r="D480" s="4" t="s">
        <v>3915</v>
      </c>
      <c r="E480" s="4" t="s">
        <v>21</v>
      </c>
      <c r="F480" s="4" t="s">
        <v>3916</v>
      </c>
      <c r="G480" s="4" t="s">
        <v>21</v>
      </c>
      <c r="H480" s="4" t="s">
        <v>3917</v>
      </c>
      <c r="I480" s="4" t="s">
        <v>21</v>
      </c>
      <c r="J480" s="4" t="s">
        <v>3904</v>
      </c>
      <c r="K480" s="4" t="s">
        <v>24</v>
      </c>
      <c r="L480" s="4" t="s">
        <v>3905</v>
      </c>
      <c r="M480" s="4" t="s">
        <v>20</v>
      </c>
      <c r="N480" s="7" t="n">
        <v>3</v>
      </c>
      <c r="O480" s="4" t="s">
        <v>3906</v>
      </c>
      <c r="P480" s="10" t="n">
        <v>1.593</v>
      </c>
    </row>
    <row r="481" customFormat="false" ht="15" hidden="false" customHeight="false" outlineLevel="0" collapsed="false">
      <c r="A481" s="4" t="s">
        <v>3733</v>
      </c>
      <c r="B481" s="7" t="n">
        <v>2025</v>
      </c>
      <c r="C481" s="4" t="s">
        <v>15</v>
      </c>
      <c r="D481" s="4" t="s">
        <v>3907</v>
      </c>
      <c r="E481" s="4" t="s">
        <v>21</v>
      </c>
      <c r="F481" s="4" t="s">
        <v>3908</v>
      </c>
      <c r="G481" s="4" t="s">
        <v>20</v>
      </c>
      <c r="H481" s="4" t="s">
        <v>3909</v>
      </c>
      <c r="I481" s="4" t="s">
        <v>24</v>
      </c>
      <c r="J481" s="4" t="s">
        <v>3904</v>
      </c>
      <c r="K481" s="4" t="s">
        <v>23</v>
      </c>
      <c r="L481" s="4" t="s">
        <v>3905</v>
      </c>
      <c r="M481" s="4" t="s">
        <v>21</v>
      </c>
      <c r="N481" s="7" t="n">
        <v>2</v>
      </c>
      <c r="O481" s="4" t="s">
        <v>3910</v>
      </c>
      <c r="P481" s="11"/>
    </row>
    <row r="482" customFormat="false" ht="15" hidden="false" customHeight="false" outlineLevel="0" collapsed="false">
      <c r="A482" s="4" t="s">
        <v>3740</v>
      </c>
      <c r="B482" s="7" t="n">
        <v>2023</v>
      </c>
      <c r="C482" s="4" t="s">
        <v>18</v>
      </c>
      <c r="D482" s="4" t="s">
        <v>3915</v>
      </c>
      <c r="E482" s="4" t="s">
        <v>20</v>
      </c>
      <c r="F482" s="4" t="s">
        <v>3916</v>
      </c>
      <c r="G482" s="4" t="s">
        <v>22</v>
      </c>
      <c r="H482" s="4" t="s">
        <v>3917</v>
      </c>
      <c r="I482" s="4" t="s">
        <v>22</v>
      </c>
      <c r="J482" s="4" t="s">
        <v>3904</v>
      </c>
      <c r="K482" s="4" t="s">
        <v>22</v>
      </c>
      <c r="L482" s="4" t="s">
        <v>3905</v>
      </c>
      <c r="M482" s="4" t="s">
        <v>24</v>
      </c>
      <c r="N482" s="7" t="n">
        <v>3</v>
      </c>
      <c r="O482" s="4" t="s">
        <v>3906</v>
      </c>
      <c r="P482" s="10" t="n">
        <v>0.767</v>
      </c>
    </row>
    <row r="483" customFormat="false" ht="15" hidden="false" customHeight="false" outlineLevel="0" collapsed="false">
      <c r="A483" s="4" t="s">
        <v>3748</v>
      </c>
      <c r="B483" s="7" t="n">
        <v>2021</v>
      </c>
      <c r="C483" s="4" t="s">
        <v>15</v>
      </c>
      <c r="D483" s="4" t="s">
        <v>3907</v>
      </c>
      <c r="E483" s="4" t="s">
        <v>21</v>
      </c>
      <c r="F483" s="4" t="s">
        <v>3908</v>
      </c>
      <c r="G483" s="4" t="s">
        <v>22</v>
      </c>
      <c r="H483" s="4" t="s">
        <v>3909</v>
      </c>
      <c r="I483" s="4" t="s">
        <v>22</v>
      </c>
      <c r="J483" s="4" t="s">
        <v>3904</v>
      </c>
      <c r="K483" s="4" t="s">
        <v>20</v>
      </c>
      <c r="L483" s="4" t="s">
        <v>3905</v>
      </c>
      <c r="M483" s="4" t="s">
        <v>22</v>
      </c>
      <c r="N483" s="7" t="n">
        <v>3</v>
      </c>
      <c r="O483" s="4" t="s">
        <v>3906</v>
      </c>
      <c r="P483" s="10" t="n">
        <v>-0.464</v>
      </c>
    </row>
    <row r="484" customFormat="false" ht="15" hidden="false" customHeight="false" outlineLevel="0" collapsed="false">
      <c r="A484" s="4" t="s">
        <v>3755</v>
      </c>
      <c r="B484" s="7" t="n">
        <v>2024</v>
      </c>
      <c r="C484" s="4" t="s">
        <v>16</v>
      </c>
      <c r="D484" s="4" t="s">
        <v>3911</v>
      </c>
      <c r="E484" s="4" t="s">
        <v>24</v>
      </c>
      <c r="F484" s="4" t="s">
        <v>3912</v>
      </c>
      <c r="G484" s="4" t="s">
        <v>20</v>
      </c>
      <c r="H484" s="4" t="s">
        <v>3913</v>
      </c>
      <c r="I484" s="4" t="s">
        <v>21</v>
      </c>
      <c r="J484" s="4" t="s">
        <v>3904</v>
      </c>
      <c r="K484" s="4" t="s">
        <v>21</v>
      </c>
      <c r="L484" s="4" t="s">
        <v>3905</v>
      </c>
      <c r="M484" s="4" t="s">
        <v>21</v>
      </c>
      <c r="N484" s="7" t="n">
        <v>2</v>
      </c>
      <c r="O484" s="4" t="s">
        <v>3910</v>
      </c>
      <c r="P484" s="11"/>
    </row>
    <row r="485" customFormat="false" ht="15" hidden="false" customHeight="false" outlineLevel="0" collapsed="false">
      <c r="A485" s="4" t="s">
        <v>3762</v>
      </c>
      <c r="B485" s="7" t="n">
        <v>2025</v>
      </c>
      <c r="C485" s="4" t="s">
        <v>17</v>
      </c>
      <c r="D485" s="4" t="s">
        <v>3901</v>
      </c>
      <c r="E485" s="4" t="s">
        <v>22</v>
      </c>
      <c r="F485" s="4" t="s">
        <v>3902</v>
      </c>
      <c r="G485" s="4" t="s">
        <v>21</v>
      </c>
      <c r="H485" s="4" t="s">
        <v>3903</v>
      </c>
      <c r="I485" s="4" t="s">
        <v>20</v>
      </c>
      <c r="J485" s="4" t="s">
        <v>3904</v>
      </c>
      <c r="K485" s="4" t="s">
        <v>24</v>
      </c>
      <c r="L485" s="4" t="s">
        <v>3905</v>
      </c>
      <c r="M485" s="4" t="s">
        <v>21</v>
      </c>
      <c r="N485" s="7" t="n">
        <v>3</v>
      </c>
      <c r="O485" s="4" t="s">
        <v>3906</v>
      </c>
      <c r="P485" s="10" t="n">
        <v>1.596</v>
      </c>
    </row>
    <row r="486" customFormat="false" ht="15" hidden="false" customHeight="false" outlineLevel="0" collapsed="false">
      <c r="A486" s="4" t="s">
        <v>3769</v>
      </c>
      <c r="B486" s="7" t="n">
        <v>2025</v>
      </c>
      <c r="C486" s="4" t="s">
        <v>16</v>
      </c>
      <c r="D486" s="4" t="s">
        <v>3911</v>
      </c>
      <c r="E486" s="4" t="s">
        <v>21</v>
      </c>
      <c r="F486" s="4" t="s">
        <v>3912</v>
      </c>
      <c r="G486" s="4" t="s">
        <v>23</v>
      </c>
      <c r="H486" s="4" t="s">
        <v>3913</v>
      </c>
      <c r="I486" s="4" t="s">
        <v>20</v>
      </c>
      <c r="J486" s="4" t="s">
        <v>3904</v>
      </c>
      <c r="K486" s="4" t="s">
        <v>21</v>
      </c>
      <c r="L486" s="4" t="s">
        <v>3905</v>
      </c>
      <c r="M486" s="4" t="s">
        <v>20</v>
      </c>
      <c r="N486" s="7" t="n">
        <v>3</v>
      </c>
      <c r="O486" s="4" t="s">
        <v>3906</v>
      </c>
      <c r="P486" s="10" t="n">
        <v>0.5587</v>
      </c>
    </row>
    <row r="487" customFormat="false" ht="15" hidden="false" customHeight="false" outlineLevel="0" collapsed="false">
      <c r="A487" s="4" t="s">
        <v>3777</v>
      </c>
      <c r="B487" s="7" t="n">
        <v>2021</v>
      </c>
      <c r="C487" s="4" t="s">
        <v>16</v>
      </c>
      <c r="D487" s="4" t="s">
        <v>3911</v>
      </c>
      <c r="E487" s="4" t="s">
        <v>21</v>
      </c>
      <c r="F487" s="4" t="s">
        <v>3912</v>
      </c>
      <c r="G487" s="4" t="s">
        <v>20</v>
      </c>
      <c r="H487" s="4" t="s">
        <v>3913</v>
      </c>
      <c r="I487" s="4" t="s">
        <v>21</v>
      </c>
      <c r="J487" s="4" t="s">
        <v>3904</v>
      </c>
      <c r="K487" s="4" t="s">
        <v>21</v>
      </c>
      <c r="L487" s="4" t="s">
        <v>3905</v>
      </c>
      <c r="M487" s="4" t="s">
        <v>21</v>
      </c>
      <c r="N487" s="7" t="n">
        <v>3</v>
      </c>
      <c r="O487" s="4" t="s">
        <v>3906</v>
      </c>
      <c r="P487" s="10" t="n">
        <v>-0.4917</v>
      </c>
    </row>
    <row r="488" customFormat="false" ht="15" hidden="false" customHeight="false" outlineLevel="0" collapsed="false">
      <c r="A488" s="4" t="s">
        <v>3785</v>
      </c>
      <c r="B488" s="7" t="n">
        <v>2024</v>
      </c>
      <c r="C488" s="4" t="s">
        <v>17</v>
      </c>
      <c r="D488" s="4" t="s">
        <v>3901</v>
      </c>
      <c r="E488" s="4" t="s">
        <v>21</v>
      </c>
      <c r="F488" s="4" t="s">
        <v>3902</v>
      </c>
      <c r="G488" s="4" t="s">
        <v>20</v>
      </c>
      <c r="H488" s="4" t="s">
        <v>3903</v>
      </c>
      <c r="I488" s="4" t="s">
        <v>21</v>
      </c>
      <c r="J488" s="4" t="s">
        <v>3904</v>
      </c>
      <c r="K488" s="4" t="s">
        <v>22</v>
      </c>
      <c r="L488" s="4" t="s">
        <v>3905</v>
      </c>
      <c r="M488" s="4" t="s">
        <v>21</v>
      </c>
      <c r="N488" s="7" t="n">
        <v>3</v>
      </c>
      <c r="O488" s="4" t="s">
        <v>3906</v>
      </c>
      <c r="P488" s="10" t="n">
        <v>1.7312</v>
      </c>
    </row>
    <row r="489" customFormat="false" ht="15" hidden="false" customHeight="false" outlineLevel="0" collapsed="false">
      <c r="A489" s="4" t="s">
        <v>3793</v>
      </c>
      <c r="B489" s="7" t="n">
        <v>2021</v>
      </c>
      <c r="C489" s="4" t="s">
        <v>17</v>
      </c>
      <c r="D489" s="4" t="s">
        <v>3901</v>
      </c>
      <c r="E489" s="4" t="s">
        <v>22</v>
      </c>
      <c r="F489" s="4" t="s">
        <v>3902</v>
      </c>
      <c r="G489" s="4" t="s">
        <v>21</v>
      </c>
      <c r="H489" s="4" t="s">
        <v>3903</v>
      </c>
      <c r="I489" s="4" t="s">
        <v>24</v>
      </c>
      <c r="J489" s="4" t="s">
        <v>3904</v>
      </c>
      <c r="K489" s="4" t="s">
        <v>20</v>
      </c>
      <c r="L489" s="4" t="s">
        <v>3905</v>
      </c>
      <c r="M489" s="4" t="s">
        <v>22</v>
      </c>
      <c r="N489" s="7" t="n">
        <v>2</v>
      </c>
      <c r="O489" s="4" t="s">
        <v>3910</v>
      </c>
      <c r="P489" s="11"/>
    </row>
    <row r="490" customFormat="false" ht="15" hidden="false" customHeight="false" outlineLevel="0" collapsed="false">
      <c r="A490" s="4" t="s">
        <v>3800</v>
      </c>
      <c r="B490" s="7" t="n">
        <v>2021</v>
      </c>
      <c r="C490" s="4" t="s">
        <v>17</v>
      </c>
      <c r="D490" s="4" t="s">
        <v>3901</v>
      </c>
      <c r="E490" s="4" t="s">
        <v>24</v>
      </c>
      <c r="F490" s="4" t="s">
        <v>3902</v>
      </c>
      <c r="G490" s="4" t="s">
        <v>22</v>
      </c>
      <c r="H490" s="4" t="s">
        <v>3903</v>
      </c>
      <c r="I490" s="4" t="s">
        <v>22</v>
      </c>
      <c r="J490" s="4" t="s">
        <v>3904</v>
      </c>
      <c r="K490" s="4" t="s">
        <v>21</v>
      </c>
      <c r="L490" s="4" t="s">
        <v>3905</v>
      </c>
      <c r="M490" s="4" t="s">
        <v>24</v>
      </c>
      <c r="N490" s="7" t="n">
        <v>2</v>
      </c>
      <c r="O490" s="4" t="s">
        <v>3910</v>
      </c>
      <c r="P490" s="11"/>
    </row>
    <row r="491" customFormat="false" ht="15" hidden="false" customHeight="false" outlineLevel="0" collapsed="false">
      <c r="A491" s="4" t="s">
        <v>3808</v>
      </c>
      <c r="B491" s="7" t="n">
        <v>2025</v>
      </c>
      <c r="C491" s="4" t="s">
        <v>16</v>
      </c>
      <c r="D491" s="4" t="s">
        <v>3911</v>
      </c>
      <c r="E491" s="4" t="s">
        <v>23</v>
      </c>
      <c r="F491" s="4" t="s">
        <v>3912</v>
      </c>
      <c r="G491" s="4" t="s">
        <v>20</v>
      </c>
      <c r="H491" s="4" t="s">
        <v>3913</v>
      </c>
      <c r="I491" s="4" t="s">
        <v>20</v>
      </c>
      <c r="J491" s="4" t="s">
        <v>3904</v>
      </c>
      <c r="K491" s="4" t="s">
        <v>22</v>
      </c>
      <c r="L491" s="4" t="s">
        <v>3905</v>
      </c>
      <c r="M491" s="4" t="s">
        <v>21</v>
      </c>
      <c r="N491" s="7" t="n">
        <v>3</v>
      </c>
      <c r="O491" s="4" t="s">
        <v>3906</v>
      </c>
      <c r="P491" s="10" t="n">
        <v>0.4318</v>
      </c>
    </row>
    <row r="492" customFormat="false" ht="15" hidden="false" customHeight="false" outlineLevel="0" collapsed="false">
      <c r="A492" s="4" t="s">
        <v>3815</v>
      </c>
      <c r="B492" s="7" t="n">
        <v>2023</v>
      </c>
      <c r="C492" s="4" t="s">
        <v>15</v>
      </c>
      <c r="D492" s="4" t="s">
        <v>3907</v>
      </c>
      <c r="E492" s="4" t="s">
        <v>21</v>
      </c>
      <c r="F492" s="4" t="s">
        <v>3908</v>
      </c>
      <c r="G492" s="4" t="s">
        <v>21</v>
      </c>
      <c r="H492" s="4" t="s">
        <v>3909</v>
      </c>
      <c r="I492" s="4" t="s">
        <v>24</v>
      </c>
      <c r="J492" s="4" t="s">
        <v>3904</v>
      </c>
      <c r="K492" s="4" t="s">
        <v>21</v>
      </c>
      <c r="L492" s="4" t="s">
        <v>3905</v>
      </c>
      <c r="M492" s="4" t="s">
        <v>20</v>
      </c>
      <c r="N492" s="7" t="n">
        <v>2</v>
      </c>
      <c r="O492" s="4" t="s">
        <v>3910</v>
      </c>
      <c r="P492" s="11"/>
    </row>
    <row r="493" customFormat="false" ht="15" hidden="false" customHeight="false" outlineLevel="0" collapsed="false">
      <c r="A493" s="4" t="s">
        <v>3822</v>
      </c>
      <c r="B493" s="7" t="n">
        <v>2021</v>
      </c>
      <c r="C493" s="4" t="s">
        <v>16</v>
      </c>
      <c r="D493" s="4" t="s">
        <v>3911</v>
      </c>
      <c r="E493" s="4" t="s">
        <v>24</v>
      </c>
      <c r="F493" s="4" t="s">
        <v>3912</v>
      </c>
      <c r="G493" s="4" t="s">
        <v>24</v>
      </c>
      <c r="H493" s="4" t="s">
        <v>3913</v>
      </c>
      <c r="I493" s="4" t="s">
        <v>21</v>
      </c>
      <c r="J493" s="4" t="s">
        <v>3904</v>
      </c>
      <c r="K493" s="4" t="s">
        <v>23</v>
      </c>
      <c r="L493" s="4" t="s">
        <v>3905</v>
      </c>
      <c r="M493" s="4" t="s">
        <v>21</v>
      </c>
      <c r="N493" s="7" t="n">
        <v>1</v>
      </c>
      <c r="O493" s="4" t="s">
        <v>3910</v>
      </c>
      <c r="P493" s="11"/>
    </row>
    <row r="494" customFormat="false" ht="15" hidden="false" customHeight="false" outlineLevel="0" collapsed="false">
      <c r="A494" s="4" t="s">
        <v>3830</v>
      </c>
      <c r="B494" s="7" t="n">
        <v>2021</v>
      </c>
      <c r="C494" s="4" t="s">
        <v>14</v>
      </c>
      <c r="D494" s="4" t="s">
        <v>3914</v>
      </c>
      <c r="E494" s="4" t="s">
        <v>21</v>
      </c>
      <c r="F494" s="4" t="s">
        <v>3908</v>
      </c>
      <c r="G494" s="4" t="s">
        <v>21</v>
      </c>
      <c r="H494" s="4" t="s">
        <v>3909</v>
      </c>
      <c r="I494" s="4" t="s">
        <v>20</v>
      </c>
      <c r="J494" s="4" t="s">
        <v>3904</v>
      </c>
      <c r="K494" s="4" t="s">
        <v>20</v>
      </c>
      <c r="L494" s="4" t="s">
        <v>3905</v>
      </c>
      <c r="M494" s="4" t="s">
        <v>22</v>
      </c>
      <c r="N494" s="7" t="n">
        <v>3</v>
      </c>
      <c r="O494" s="4" t="s">
        <v>3906</v>
      </c>
      <c r="P494" s="10" t="n">
        <v>-0.2172</v>
      </c>
    </row>
    <row r="495" customFormat="false" ht="15" hidden="false" customHeight="false" outlineLevel="0" collapsed="false">
      <c r="A495" s="4" t="s">
        <v>3837</v>
      </c>
      <c r="B495" s="7" t="n">
        <v>2022</v>
      </c>
      <c r="C495" s="4" t="s">
        <v>14</v>
      </c>
      <c r="D495" s="4" t="s">
        <v>3914</v>
      </c>
      <c r="E495" s="4" t="s">
        <v>21</v>
      </c>
      <c r="F495" s="4" t="s">
        <v>3908</v>
      </c>
      <c r="G495" s="4" t="s">
        <v>23</v>
      </c>
      <c r="H495" s="4" t="s">
        <v>3909</v>
      </c>
      <c r="I495" s="4" t="s">
        <v>21</v>
      </c>
      <c r="J495" s="4" t="s">
        <v>3904</v>
      </c>
      <c r="K495" s="4" t="s">
        <v>24</v>
      </c>
      <c r="L495" s="4" t="s">
        <v>3905</v>
      </c>
      <c r="M495" s="4" t="s">
        <v>20</v>
      </c>
      <c r="N495" s="7" t="n">
        <v>3</v>
      </c>
      <c r="O495" s="4" t="s">
        <v>3906</v>
      </c>
      <c r="P495" s="10" t="n">
        <v>-0.6938</v>
      </c>
    </row>
    <row r="496" customFormat="false" ht="15" hidden="false" customHeight="false" outlineLevel="0" collapsed="false">
      <c r="A496" s="4" t="s">
        <v>3844</v>
      </c>
      <c r="B496" s="7" t="n">
        <v>2025</v>
      </c>
      <c r="C496" s="4" t="s">
        <v>15</v>
      </c>
      <c r="D496" s="4" t="s">
        <v>3907</v>
      </c>
      <c r="E496" s="4" t="s">
        <v>24</v>
      </c>
      <c r="F496" s="4" t="s">
        <v>3908</v>
      </c>
      <c r="G496" s="4" t="s">
        <v>24</v>
      </c>
      <c r="H496" s="4" t="s">
        <v>3909</v>
      </c>
      <c r="I496" s="4" t="s">
        <v>20</v>
      </c>
      <c r="J496" s="4" t="s">
        <v>3904</v>
      </c>
      <c r="K496" s="4" t="s">
        <v>21</v>
      </c>
      <c r="L496" s="4" t="s">
        <v>3905</v>
      </c>
      <c r="M496" s="4" t="s">
        <v>22</v>
      </c>
      <c r="N496" s="7" t="n">
        <v>1</v>
      </c>
      <c r="O496" s="4" t="s">
        <v>3910</v>
      </c>
      <c r="P496" s="11"/>
    </row>
    <row r="497" customFormat="false" ht="15" hidden="false" customHeight="false" outlineLevel="0" collapsed="false">
      <c r="A497" s="4" t="s">
        <v>3851</v>
      </c>
      <c r="B497" s="7" t="n">
        <v>2023</v>
      </c>
      <c r="C497" s="4" t="s">
        <v>14</v>
      </c>
      <c r="D497" s="4" t="s">
        <v>3914</v>
      </c>
      <c r="E497" s="4" t="s">
        <v>21</v>
      </c>
      <c r="F497" s="4" t="s">
        <v>3908</v>
      </c>
      <c r="G497" s="4" t="s">
        <v>22</v>
      </c>
      <c r="H497" s="4" t="s">
        <v>3909</v>
      </c>
      <c r="I497" s="4" t="s">
        <v>23</v>
      </c>
      <c r="J497" s="4" t="s">
        <v>3904</v>
      </c>
      <c r="K497" s="4" t="s">
        <v>20</v>
      </c>
      <c r="L497" s="4" t="s">
        <v>3905</v>
      </c>
      <c r="M497" s="4" t="s">
        <v>22</v>
      </c>
      <c r="N497" s="7" t="n">
        <v>3</v>
      </c>
      <c r="O497" s="4" t="s">
        <v>3906</v>
      </c>
      <c r="P497" s="10" t="n">
        <v>1.4895</v>
      </c>
    </row>
    <row r="498" customFormat="false" ht="15" hidden="false" customHeight="false" outlineLevel="0" collapsed="false">
      <c r="A498" s="4" t="s">
        <v>3858</v>
      </c>
      <c r="B498" s="7" t="n">
        <v>2025</v>
      </c>
      <c r="C498" s="4" t="s">
        <v>15</v>
      </c>
      <c r="D498" s="4" t="s">
        <v>3907</v>
      </c>
      <c r="E498" s="4" t="s">
        <v>23</v>
      </c>
      <c r="F498" s="4" t="s">
        <v>3908</v>
      </c>
      <c r="G498" s="4" t="s">
        <v>22</v>
      </c>
      <c r="H498" s="4" t="s">
        <v>3909</v>
      </c>
      <c r="I498" s="4" t="s">
        <v>21</v>
      </c>
      <c r="J498" s="4" t="s">
        <v>3904</v>
      </c>
      <c r="K498" s="4" t="s">
        <v>22</v>
      </c>
      <c r="L498" s="4" t="s">
        <v>3905</v>
      </c>
      <c r="M498" s="4" t="s">
        <v>23</v>
      </c>
      <c r="N498" s="7" t="n">
        <v>3</v>
      </c>
      <c r="O498" s="4" t="s">
        <v>3906</v>
      </c>
      <c r="P498" s="10" t="n">
        <v>2.0475</v>
      </c>
    </row>
    <row r="499" customFormat="false" ht="15" hidden="false" customHeight="false" outlineLevel="0" collapsed="false">
      <c r="A499" s="4" t="s">
        <v>3866</v>
      </c>
      <c r="B499" s="7" t="n">
        <v>2021</v>
      </c>
      <c r="C499" s="4" t="s">
        <v>14</v>
      </c>
      <c r="D499" s="4" t="s">
        <v>3914</v>
      </c>
      <c r="E499" s="4" t="s">
        <v>20</v>
      </c>
      <c r="F499" s="4" t="s">
        <v>3908</v>
      </c>
      <c r="G499" s="4" t="s">
        <v>22</v>
      </c>
      <c r="H499" s="4" t="s">
        <v>3909</v>
      </c>
      <c r="I499" s="4" t="s">
        <v>21</v>
      </c>
      <c r="J499" s="4" t="s">
        <v>3904</v>
      </c>
      <c r="K499" s="4" t="s">
        <v>24</v>
      </c>
      <c r="L499" s="4" t="s">
        <v>3905</v>
      </c>
      <c r="M499" s="4" t="s">
        <v>23</v>
      </c>
      <c r="N499" s="7" t="n">
        <v>3</v>
      </c>
      <c r="O499" s="4" t="s">
        <v>3906</v>
      </c>
      <c r="P499" s="10" t="n">
        <v>0.8833</v>
      </c>
    </row>
    <row r="500" customFormat="false" ht="15" hidden="false" customHeight="false" outlineLevel="0" collapsed="false">
      <c r="A500" s="4" t="s">
        <v>3874</v>
      </c>
      <c r="B500" s="7" t="n">
        <v>2025</v>
      </c>
      <c r="C500" s="4" t="s">
        <v>18</v>
      </c>
      <c r="D500" s="4" t="s">
        <v>3915</v>
      </c>
      <c r="E500" s="4" t="s">
        <v>20</v>
      </c>
      <c r="F500" s="4" t="s">
        <v>3916</v>
      </c>
      <c r="G500" s="4" t="s">
        <v>22</v>
      </c>
      <c r="H500" s="4" t="s">
        <v>3917</v>
      </c>
      <c r="I500" s="4" t="s">
        <v>20</v>
      </c>
      <c r="J500" s="4" t="s">
        <v>3904</v>
      </c>
      <c r="K500" s="4" t="s">
        <v>22</v>
      </c>
      <c r="L500" s="4" t="s">
        <v>3905</v>
      </c>
      <c r="M500" s="4" t="s">
        <v>21</v>
      </c>
      <c r="N500" s="7" t="n">
        <v>3</v>
      </c>
      <c r="O500" s="4" t="s">
        <v>3906</v>
      </c>
      <c r="P500" s="10" t="n">
        <v>0.8054</v>
      </c>
    </row>
    <row r="501" customFormat="false" ht="15" hidden="false" customHeight="false" outlineLevel="0" collapsed="false">
      <c r="A501" s="4" t="s">
        <v>3881</v>
      </c>
      <c r="B501" s="7" t="n">
        <v>2025</v>
      </c>
      <c r="C501" s="4" t="s">
        <v>15</v>
      </c>
      <c r="D501" s="4" t="s">
        <v>3907</v>
      </c>
      <c r="E501" s="4" t="s">
        <v>21</v>
      </c>
      <c r="F501" s="4" t="s">
        <v>3908</v>
      </c>
      <c r="G501" s="4" t="s">
        <v>23</v>
      </c>
      <c r="H501" s="4" t="s">
        <v>3909</v>
      </c>
      <c r="I501" s="4" t="s">
        <v>21</v>
      </c>
      <c r="J501" s="4" t="s">
        <v>3904</v>
      </c>
      <c r="K501" s="4" t="s">
        <v>21</v>
      </c>
      <c r="L501" s="4" t="s">
        <v>3905</v>
      </c>
      <c r="M501" s="4" t="s">
        <v>24</v>
      </c>
      <c r="N501" s="7" t="n">
        <v>3</v>
      </c>
      <c r="O501" s="4" t="s">
        <v>3906</v>
      </c>
      <c r="P501" s="10" t="n">
        <v>0.5421</v>
      </c>
    </row>
  </sheetData>
  <conditionalFormatting sqref="E2:E501">
    <cfRule type="cellIs" priority="2" operator="equal" aboveAverage="0" equalAverage="0" bottom="0" percent="0" rank="0" text="" dxfId="8">
      <formula>"A"</formula>
    </cfRule>
    <cfRule type="cellIs" priority="3" operator="equal" aboveAverage="0" equalAverage="0" bottom="0" percent="0" rank="0" text="" dxfId="9">
      <formula>"B"</formula>
    </cfRule>
    <cfRule type="cellIs" priority="4" operator="equal" aboveAverage="0" equalAverage="0" bottom="0" percent="0" rank="0" text="" dxfId="10">
      <formula>"C"</formula>
    </cfRule>
    <cfRule type="cellIs" priority="5" operator="equal" aboveAverage="0" equalAverage="0" bottom="0" percent="0" rank="0" text="" dxfId="11">
      <formula>"S"</formula>
    </cfRule>
    <cfRule type="cellIs" priority="6" operator="equal" aboveAverage="0" equalAverage="0" bottom="0" percent="0" rank="0" text="" dxfId="12">
      <formula>"F"</formula>
    </cfRule>
  </conditionalFormatting>
  <conditionalFormatting sqref="G2:G501">
    <cfRule type="cellIs" priority="7" operator="equal" aboveAverage="0" equalAverage="0" bottom="0" percent="0" rank="0" text="" dxfId="8">
      <formula>"A"</formula>
    </cfRule>
    <cfRule type="cellIs" priority="8" operator="equal" aboveAverage="0" equalAverage="0" bottom="0" percent="0" rank="0" text="" dxfId="9">
      <formula>"B"</formula>
    </cfRule>
    <cfRule type="cellIs" priority="9" operator="equal" aboveAverage="0" equalAverage="0" bottom="0" percent="0" rank="0" text="" dxfId="10">
      <formula>"C"</formula>
    </cfRule>
    <cfRule type="cellIs" priority="10" operator="equal" aboveAverage="0" equalAverage="0" bottom="0" percent="0" rank="0" text="" dxfId="11">
      <formula>"S"</formula>
    </cfRule>
    <cfRule type="cellIs" priority="11" operator="equal" aboveAverage="0" equalAverage="0" bottom="0" percent="0" rank="0" text="" dxfId="12">
      <formula>"F"</formula>
    </cfRule>
  </conditionalFormatting>
  <conditionalFormatting sqref="I2:I501">
    <cfRule type="cellIs" priority="12" operator="equal" aboveAverage="0" equalAverage="0" bottom="0" percent="0" rank="0" text="" dxfId="8">
      <formula>"A"</formula>
    </cfRule>
    <cfRule type="cellIs" priority="13" operator="equal" aboveAverage="0" equalAverage="0" bottom="0" percent="0" rank="0" text="" dxfId="9">
      <formula>"B"</formula>
    </cfRule>
    <cfRule type="cellIs" priority="14" operator="equal" aboveAverage="0" equalAverage="0" bottom="0" percent="0" rank="0" text="" dxfId="10">
      <formula>"C"</formula>
    </cfRule>
    <cfRule type="cellIs" priority="15" operator="equal" aboveAverage="0" equalAverage="0" bottom="0" percent="0" rank="0" text="" dxfId="11">
      <formula>"S"</formula>
    </cfRule>
    <cfRule type="cellIs" priority="16" operator="equal" aboveAverage="0" equalAverage="0" bottom="0" percent="0" rank="0" text="" dxfId="12">
      <formula>"F"</formula>
    </cfRule>
  </conditionalFormatting>
  <conditionalFormatting sqref="K2:K501">
    <cfRule type="cellIs" priority="17" operator="equal" aboveAverage="0" equalAverage="0" bottom="0" percent="0" rank="0" text="" dxfId="8">
      <formula>"A"</formula>
    </cfRule>
    <cfRule type="cellIs" priority="18" operator="equal" aboveAverage="0" equalAverage="0" bottom="0" percent="0" rank="0" text="" dxfId="9">
      <formula>"B"</formula>
    </cfRule>
    <cfRule type="cellIs" priority="19" operator="equal" aboveAverage="0" equalAverage="0" bottom="0" percent="0" rank="0" text="" dxfId="10">
      <formula>"C"</formula>
    </cfRule>
    <cfRule type="cellIs" priority="20" operator="equal" aboveAverage="0" equalAverage="0" bottom="0" percent="0" rank="0" text="" dxfId="11">
      <formula>"S"</formula>
    </cfRule>
    <cfRule type="cellIs" priority="21" operator="equal" aboveAverage="0" equalAverage="0" bottom="0" percent="0" rank="0" text="" dxfId="12">
      <formula>"F"</formula>
    </cfRule>
  </conditionalFormatting>
  <conditionalFormatting sqref="M2:M501">
    <cfRule type="cellIs" priority="22" operator="equal" aboveAverage="0" equalAverage="0" bottom="0" percent="0" rank="0" text="" dxfId="8">
      <formula>"A"</formula>
    </cfRule>
    <cfRule type="cellIs" priority="23" operator="equal" aboveAverage="0" equalAverage="0" bottom="0" percent="0" rank="0" text="" dxfId="9">
      <formula>"B"</formula>
    </cfRule>
    <cfRule type="cellIs" priority="24" operator="equal" aboveAverage="0" equalAverage="0" bottom="0" percent="0" rank="0" text="" dxfId="10">
      <formula>"C"</formula>
    </cfRule>
    <cfRule type="cellIs" priority="25" operator="equal" aboveAverage="0" equalAverage="0" bottom="0" percent="0" rank="0" text="" dxfId="11">
      <formula>"S"</formula>
    </cfRule>
    <cfRule type="cellIs" priority="26" operator="equal" aboveAverage="0" equalAverage="0" bottom="0" percent="0" rank="0" text="" dxfId="12">
      <formula>"F"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3"/>
  </cols>
  <sheetData>
    <row r="1" customFormat="false" ht="27.75" hidden="false" customHeight="true" outlineLevel="0" collapsed="false">
      <c r="A1" s="8" t="s">
        <v>25</v>
      </c>
      <c r="B1" s="8" t="s">
        <v>3918</v>
      </c>
      <c r="C1" s="8" t="s">
        <v>3919</v>
      </c>
      <c r="D1" s="8" t="s">
        <v>3920</v>
      </c>
      <c r="E1" s="8" t="s">
        <v>3921</v>
      </c>
    </row>
    <row r="2" customFormat="false" ht="15" hidden="false" customHeight="false" outlineLevel="0" collapsed="false">
      <c r="A2" s="4" t="s">
        <v>41</v>
      </c>
      <c r="B2" s="4" t="s">
        <v>3922</v>
      </c>
      <c r="C2" s="4" t="s">
        <v>3923</v>
      </c>
      <c r="D2" s="4" t="s">
        <v>3924</v>
      </c>
      <c r="E2" s="7" t="n">
        <v>1</v>
      </c>
    </row>
    <row r="3" customFormat="false" ht="15" hidden="false" customHeight="false" outlineLevel="0" collapsed="false">
      <c r="A3" s="4" t="s">
        <v>53</v>
      </c>
      <c r="B3" s="4" t="s">
        <v>3925</v>
      </c>
      <c r="C3" s="4" t="s">
        <v>3923</v>
      </c>
      <c r="D3" s="4" t="s">
        <v>3926</v>
      </c>
      <c r="E3" s="7" t="n">
        <v>4</v>
      </c>
    </row>
    <row r="4" customFormat="false" ht="15" hidden="false" customHeight="false" outlineLevel="0" collapsed="false">
      <c r="A4" s="4" t="s">
        <v>63</v>
      </c>
      <c r="B4" s="4" t="s">
        <v>3927</v>
      </c>
      <c r="C4" s="4" t="s">
        <v>3923</v>
      </c>
      <c r="D4" s="4" t="s">
        <v>3928</v>
      </c>
      <c r="E4" s="7" t="n">
        <v>3</v>
      </c>
    </row>
    <row r="5" customFormat="false" ht="15" hidden="false" customHeight="false" outlineLevel="0" collapsed="false">
      <c r="A5" s="4" t="s">
        <v>74</v>
      </c>
      <c r="B5" s="4" t="s">
        <v>3929</v>
      </c>
      <c r="C5" s="4" t="s">
        <v>3923</v>
      </c>
      <c r="D5" s="4" t="s">
        <v>3926</v>
      </c>
      <c r="E5" s="7" t="n">
        <v>4</v>
      </c>
    </row>
    <row r="6" customFormat="false" ht="15" hidden="false" customHeight="false" outlineLevel="0" collapsed="false">
      <c r="A6" s="4" t="s">
        <v>74</v>
      </c>
      <c r="B6" s="4" t="s">
        <v>3930</v>
      </c>
      <c r="C6" s="4" t="s">
        <v>3923</v>
      </c>
      <c r="D6" s="4" t="s">
        <v>3926</v>
      </c>
      <c r="E6" s="7" t="n">
        <v>2</v>
      </c>
    </row>
    <row r="7" customFormat="false" ht="15" hidden="false" customHeight="false" outlineLevel="0" collapsed="false">
      <c r="A7" s="4" t="s">
        <v>74</v>
      </c>
      <c r="B7" s="4" t="s">
        <v>3931</v>
      </c>
      <c r="C7" s="4" t="s">
        <v>3923</v>
      </c>
      <c r="D7" s="4" t="s">
        <v>3924</v>
      </c>
      <c r="E7" s="7" t="n">
        <v>4</v>
      </c>
    </row>
    <row r="8" customFormat="false" ht="15" hidden="false" customHeight="false" outlineLevel="0" collapsed="false">
      <c r="A8" s="4" t="s">
        <v>84</v>
      </c>
      <c r="B8" s="4" t="s">
        <v>3932</v>
      </c>
      <c r="C8" s="4" t="s">
        <v>3923</v>
      </c>
      <c r="D8" s="4" t="s">
        <v>3928</v>
      </c>
      <c r="E8" s="7" t="n">
        <v>1</v>
      </c>
    </row>
    <row r="9" customFormat="false" ht="15" hidden="false" customHeight="false" outlineLevel="0" collapsed="false">
      <c r="A9" s="4" t="s">
        <v>92</v>
      </c>
      <c r="B9" s="4" t="s">
        <v>3930</v>
      </c>
      <c r="C9" s="4" t="s">
        <v>3923</v>
      </c>
      <c r="D9" s="4" t="s">
        <v>3933</v>
      </c>
      <c r="E9" s="7" t="n">
        <v>2</v>
      </c>
    </row>
    <row r="10" customFormat="false" ht="15" hidden="false" customHeight="false" outlineLevel="0" collapsed="false">
      <c r="A10" s="4" t="s">
        <v>92</v>
      </c>
      <c r="B10" s="4" t="s">
        <v>3934</v>
      </c>
      <c r="C10" s="4" t="s">
        <v>3923</v>
      </c>
      <c r="D10" s="4" t="s">
        <v>3935</v>
      </c>
      <c r="E10" s="7" t="n">
        <v>3</v>
      </c>
    </row>
    <row r="11" customFormat="false" ht="15" hidden="false" customHeight="false" outlineLevel="0" collapsed="false">
      <c r="A11" s="4" t="s">
        <v>100</v>
      </c>
      <c r="B11" s="4" t="s">
        <v>3922</v>
      </c>
      <c r="C11" s="4" t="s">
        <v>3923</v>
      </c>
      <c r="D11" s="4" t="s">
        <v>3926</v>
      </c>
      <c r="E11" s="7" t="n">
        <v>4</v>
      </c>
    </row>
    <row r="12" customFormat="false" ht="15" hidden="false" customHeight="false" outlineLevel="0" collapsed="false">
      <c r="A12" s="4" t="s">
        <v>108</v>
      </c>
      <c r="B12" s="4" t="s">
        <v>3936</v>
      </c>
      <c r="C12" s="4" t="s">
        <v>3923</v>
      </c>
      <c r="D12" s="4" t="s">
        <v>3937</v>
      </c>
      <c r="E12" s="7" t="n">
        <v>2</v>
      </c>
    </row>
    <row r="13" customFormat="false" ht="15" hidden="false" customHeight="false" outlineLevel="0" collapsed="false">
      <c r="A13" s="4" t="s">
        <v>116</v>
      </c>
      <c r="B13" s="4" t="s">
        <v>3936</v>
      </c>
      <c r="C13" s="4" t="s">
        <v>3923</v>
      </c>
      <c r="D13" s="4" t="s">
        <v>3935</v>
      </c>
      <c r="E13" s="7" t="n">
        <v>3</v>
      </c>
    </row>
    <row r="14" customFormat="false" ht="15" hidden="false" customHeight="false" outlineLevel="0" collapsed="false">
      <c r="A14" s="4" t="s">
        <v>124</v>
      </c>
      <c r="B14" s="4" t="s">
        <v>3927</v>
      </c>
      <c r="C14" s="4" t="s">
        <v>3923</v>
      </c>
      <c r="D14" s="4" t="s">
        <v>3926</v>
      </c>
      <c r="E14" s="7" t="n">
        <v>4</v>
      </c>
    </row>
    <row r="15" customFormat="false" ht="15" hidden="false" customHeight="false" outlineLevel="0" collapsed="false">
      <c r="A15" s="4" t="s">
        <v>124</v>
      </c>
      <c r="B15" s="4" t="s">
        <v>3938</v>
      </c>
      <c r="C15" s="4" t="s">
        <v>3923</v>
      </c>
      <c r="D15" s="4" t="s">
        <v>3926</v>
      </c>
      <c r="E15" s="7" t="n">
        <v>2</v>
      </c>
    </row>
    <row r="16" customFormat="false" ht="15" hidden="false" customHeight="false" outlineLevel="0" collapsed="false">
      <c r="A16" s="4" t="s">
        <v>132</v>
      </c>
      <c r="B16" s="4" t="s">
        <v>3939</v>
      </c>
      <c r="C16" s="4" t="s">
        <v>3923</v>
      </c>
      <c r="D16" s="4" t="s">
        <v>3926</v>
      </c>
      <c r="E16" s="7" t="n">
        <v>3</v>
      </c>
    </row>
    <row r="17" customFormat="false" ht="15" hidden="false" customHeight="false" outlineLevel="0" collapsed="false">
      <c r="A17" s="4" t="s">
        <v>132</v>
      </c>
      <c r="B17" s="4" t="s">
        <v>3940</v>
      </c>
      <c r="C17" s="4" t="s">
        <v>3923</v>
      </c>
      <c r="D17" s="4" t="s">
        <v>3926</v>
      </c>
      <c r="E17" s="7" t="n">
        <v>4</v>
      </c>
    </row>
    <row r="18" customFormat="false" ht="15" hidden="false" customHeight="false" outlineLevel="0" collapsed="false">
      <c r="A18" s="4" t="s">
        <v>139</v>
      </c>
      <c r="B18" s="4" t="s">
        <v>3922</v>
      </c>
      <c r="C18" s="4" t="s">
        <v>3923</v>
      </c>
      <c r="D18" s="4" t="s">
        <v>3926</v>
      </c>
      <c r="E18" s="7" t="n">
        <v>1</v>
      </c>
    </row>
    <row r="19" customFormat="false" ht="15" hidden="false" customHeight="false" outlineLevel="0" collapsed="false">
      <c r="A19" s="4" t="s">
        <v>139</v>
      </c>
      <c r="B19" s="4" t="s">
        <v>3941</v>
      </c>
      <c r="C19" s="4" t="s">
        <v>3923</v>
      </c>
      <c r="D19" s="4" t="s">
        <v>3937</v>
      </c>
      <c r="E19" s="7" t="n">
        <v>1</v>
      </c>
    </row>
    <row r="20" customFormat="false" ht="15" hidden="false" customHeight="false" outlineLevel="0" collapsed="false">
      <c r="A20" s="4" t="s">
        <v>156</v>
      </c>
      <c r="B20" s="4" t="s">
        <v>3931</v>
      </c>
      <c r="C20" s="4" t="s">
        <v>3923</v>
      </c>
      <c r="D20" s="4" t="s">
        <v>3926</v>
      </c>
      <c r="E20" s="7" t="n">
        <v>3</v>
      </c>
    </row>
    <row r="21" customFormat="false" ht="15" hidden="false" customHeight="false" outlineLevel="0" collapsed="false">
      <c r="A21" s="4" t="s">
        <v>172</v>
      </c>
      <c r="B21" s="4" t="s">
        <v>3929</v>
      </c>
      <c r="C21" s="4" t="s">
        <v>3923</v>
      </c>
      <c r="D21" s="4" t="s">
        <v>3926</v>
      </c>
      <c r="E21" s="7" t="n">
        <v>2</v>
      </c>
    </row>
    <row r="22" customFormat="false" ht="15" hidden="false" customHeight="false" outlineLevel="0" collapsed="false">
      <c r="A22" s="4" t="s">
        <v>187</v>
      </c>
      <c r="B22" s="4" t="s">
        <v>3922</v>
      </c>
      <c r="C22" s="4" t="s">
        <v>3923</v>
      </c>
      <c r="D22" s="4" t="s">
        <v>3926</v>
      </c>
      <c r="E22" s="7" t="n">
        <v>2</v>
      </c>
    </row>
    <row r="23" customFormat="false" ht="15" hidden="false" customHeight="false" outlineLevel="0" collapsed="false">
      <c r="A23" s="4" t="s">
        <v>187</v>
      </c>
      <c r="B23" s="4" t="s">
        <v>3932</v>
      </c>
      <c r="C23" s="4" t="s">
        <v>3923</v>
      </c>
      <c r="D23" s="4" t="s">
        <v>3933</v>
      </c>
      <c r="E23" s="7" t="n">
        <v>4</v>
      </c>
    </row>
    <row r="24" customFormat="false" ht="15" hidden="false" customHeight="false" outlineLevel="0" collapsed="false">
      <c r="A24" s="4" t="s">
        <v>203</v>
      </c>
      <c r="B24" s="4" t="s">
        <v>3925</v>
      </c>
      <c r="C24" s="4" t="s">
        <v>3923</v>
      </c>
      <c r="D24" s="4" t="s">
        <v>3926</v>
      </c>
      <c r="E24" s="7" t="n">
        <v>3</v>
      </c>
    </row>
    <row r="25" customFormat="false" ht="15" hidden="false" customHeight="false" outlineLevel="0" collapsed="false">
      <c r="A25" s="4" t="s">
        <v>203</v>
      </c>
      <c r="B25" s="4" t="s">
        <v>3922</v>
      </c>
      <c r="C25" s="4" t="s">
        <v>3923</v>
      </c>
      <c r="D25" s="4" t="s">
        <v>3933</v>
      </c>
      <c r="E25" s="7" t="n">
        <v>1</v>
      </c>
    </row>
    <row r="26" customFormat="false" ht="15" hidden="false" customHeight="false" outlineLevel="0" collapsed="false">
      <c r="A26" s="4" t="s">
        <v>203</v>
      </c>
      <c r="B26" s="4" t="s">
        <v>3929</v>
      </c>
      <c r="C26" s="4" t="s">
        <v>3923</v>
      </c>
      <c r="D26" s="4" t="s">
        <v>3926</v>
      </c>
      <c r="E26" s="7" t="n">
        <v>1</v>
      </c>
    </row>
    <row r="27" customFormat="false" ht="15" hidden="false" customHeight="false" outlineLevel="0" collapsed="false">
      <c r="A27" s="4" t="s">
        <v>211</v>
      </c>
      <c r="B27" s="4" t="s">
        <v>3932</v>
      </c>
      <c r="C27" s="4" t="s">
        <v>3923</v>
      </c>
      <c r="D27" s="4" t="s">
        <v>3928</v>
      </c>
      <c r="E27" s="7" t="n">
        <v>1</v>
      </c>
    </row>
    <row r="28" customFormat="false" ht="15" hidden="false" customHeight="false" outlineLevel="0" collapsed="false">
      <c r="A28" s="4" t="s">
        <v>211</v>
      </c>
      <c r="B28" s="4" t="s">
        <v>3940</v>
      </c>
      <c r="C28" s="4" t="s">
        <v>3923</v>
      </c>
      <c r="D28" s="4" t="s">
        <v>3926</v>
      </c>
      <c r="E28" s="7" t="n">
        <v>3</v>
      </c>
    </row>
    <row r="29" customFormat="false" ht="15" hidden="false" customHeight="false" outlineLevel="0" collapsed="false">
      <c r="A29" s="4" t="s">
        <v>219</v>
      </c>
      <c r="B29" s="4" t="s">
        <v>3934</v>
      </c>
      <c r="C29" s="4" t="s">
        <v>3923</v>
      </c>
      <c r="D29" s="4" t="s">
        <v>3937</v>
      </c>
      <c r="E29" s="7" t="n">
        <v>4</v>
      </c>
    </row>
    <row r="30" customFormat="false" ht="15" hidden="false" customHeight="false" outlineLevel="0" collapsed="false">
      <c r="A30" s="4" t="s">
        <v>227</v>
      </c>
      <c r="B30" s="4" t="s">
        <v>3942</v>
      </c>
      <c r="C30" s="4" t="s">
        <v>3923</v>
      </c>
      <c r="D30" s="4" t="s">
        <v>3935</v>
      </c>
      <c r="E30" s="7" t="n">
        <v>4</v>
      </c>
    </row>
    <row r="31" customFormat="false" ht="15" hidden="false" customHeight="false" outlineLevel="0" collapsed="false">
      <c r="A31" s="4" t="s">
        <v>227</v>
      </c>
      <c r="B31" s="4" t="s">
        <v>3938</v>
      </c>
      <c r="C31" s="4" t="s">
        <v>3923</v>
      </c>
      <c r="D31" s="4" t="s">
        <v>3935</v>
      </c>
      <c r="E31" s="7" t="n">
        <v>3</v>
      </c>
    </row>
    <row r="32" customFormat="false" ht="15" hidden="false" customHeight="false" outlineLevel="0" collapsed="false">
      <c r="A32" s="4" t="s">
        <v>243</v>
      </c>
      <c r="B32" s="4" t="s">
        <v>3930</v>
      </c>
      <c r="C32" s="4" t="s">
        <v>3923</v>
      </c>
      <c r="D32" s="4" t="s">
        <v>3935</v>
      </c>
      <c r="E32" s="7" t="n">
        <v>1</v>
      </c>
    </row>
    <row r="33" customFormat="false" ht="15" hidden="false" customHeight="false" outlineLevel="0" collapsed="false">
      <c r="A33" s="4" t="s">
        <v>251</v>
      </c>
      <c r="B33" s="4" t="s">
        <v>3936</v>
      </c>
      <c r="C33" s="4" t="s">
        <v>3923</v>
      </c>
      <c r="D33" s="4" t="s">
        <v>3926</v>
      </c>
      <c r="E33" s="7" t="n">
        <v>2</v>
      </c>
    </row>
    <row r="34" customFormat="false" ht="15" hidden="false" customHeight="false" outlineLevel="0" collapsed="false">
      <c r="A34" s="4" t="s">
        <v>266</v>
      </c>
      <c r="B34" s="4" t="s">
        <v>3922</v>
      </c>
      <c r="C34" s="4" t="s">
        <v>3923</v>
      </c>
      <c r="D34" s="4" t="s">
        <v>3926</v>
      </c>
      <c r="E34" s="7" t="n">
        <v>1</v>
      </c>
    </row>
    <row r="35" customFormat="false" ht="15" hidden="false" customHeight="false" outlineLevel="0" collapsed="false">
      <c r="A35" s="4" t="s">
        <v>266</v>
      </c>
      <c r="B35" s="4" t="s">
        <v>3938</v>
      </c>
      <c r="C35" s="4" t="s">
        <v>3923</v>
      </c>
      <c r="D35" s="4" t="s">
        <v>3928</v>
      </c>
      <c r="E35" s="7" t="n">
        <v>4</v>
      </c>
    </row>
    <row r="36" customFormat="false" ht="15" hidden="false" customHeight="false" outlineLevel="0" collapsed="false">
      <c r="A36" s="4" t="s">
        <v>266</v>
      </c>
      <c r="B36" s="4" t="s">
        <v>3939</v>
      </c>
      <c r="C36" s="4" t="s">
        <v>3923</v>
      </c>
      <c r="D36" s="4" t="s">
        <v>3935</v>
      </c>
      <c r="E36" s="7" t="n">
        <v>4</v>
      </c>
    </row>
    <row r="37" customFormat="false" ht="15" hidden="false" customHeight="false" outlineLevel="0" collapsed="false">
      <c r="A37" s="4" t="s">
        <v>274</v>
      </c>
      <c r="B37" s="4" t="s">
        <v>3943</v>
      </c>
      <c r="C37" s="4" t="s">
        <v>3923</v>
      </c>
      <c r="D37" s="4" t="s">
        <v>3928</v>
      </c>
      <c r="E37" s="7" t="n">
        <v>3</v>
      </c>
    </row>
    <row r="38" customFormat="false" ht="15" hidden="false" customHeight="false" outlineLevel="0" collapsed="false">
      <c r="A38" s="4" t="s">
        <v>274</v>
      </c>
      <c r="B38" s="4" t="s">
        <v>3934</v>
      </c>
      <c r="C38" s="4" t="s">
        <v>3923</v>
      </c>
      <c r="D38" s="4" t="s">
        <v>3926</v>
      </c>
      <c r="E38" s="7" t="n">
        <v>1</v>
      </c>
    </row>
    <row r="39" customFormat="false" ht="15" hidden="false" customHeight="false" outlineLevel="0" collapsed="false">
      <c r="A39" s="4" t="s">
        <v>282</v>
      </c>
      <c r="B39" s="4" t="s">
        <v>3938</v>
      </c>
      <c r="C39" s="4" t="s">
        <v>3923</v>
      </c>
      <c r="D39" s="4" t="s">
        <v>3937</v>
      </c>
      <c r="E39" s="7" t="n">
        <v>1</v>
      </c>
    </row>
    <row r="40" customFormat="false" ht="15" hidden="false" customHeight="false" outlineLevel="0" collapsed="false">
      <c r="A40" s="4" t="s">
        <v>289</v>
      </c>
      <c r="B40" s="4" t="s">
        <v>3934</v>
      </c>
      <c r="C40" s="4" t="s">
        <v>3923</v>
      </c>
      <c r="D40" s="4" t="s">
        <v>3935</v>
      </c>
      <c r="E40" s="7" t="n">
        <v>2</v>
      </c>
    </row>
    <row r="41" customFormat="false" ht="15" hidden="false" customHeight="false" outlineLevel="0" collapsed="false">
      <c r="A41" s="4" t="s">
        <v>289</v>
      </c>
      <c r="B41" s="4" t="s">
        <v>3942</v>
      </c>
      <c r="C41" s="4" t="s">
        <v>3923</v>
      </c>
      <c r="D41" s="4" t="s">
        <v>3926</v>
      </c>
      <c r="E41" s="7" t="n">
        <v>2</v>
      </c>
    </row>
    <row r="42" customFormat="false" ht="15" hidden="false" customHeight="false" outlineLevel="0" collapsed="false">
      <c r="A42" s="4" t="s">
        <v>296</v>
      </c>
      <c r="B42" s="4" t="s">
        <v>3943</v>
      </c>
      <c r="C42" s="4" t="s">
        <v>3923</v>
      </c>
      <c r="D42" s="4" t="s">
        <v>3933</v>
      </c>
      <c r="E42" s="7" t="n">
        <v>2</v>
      </c>
    </row>
    <row r="43" customFormat="false" ht="15" hidden="false" customHeight="false" outlineLevel="0" collapsed="false">
      <c r="A43" s="4" t="s">
        <v>304</v>
      </c>
      <c r="B43" s="4" t="s">
        <v>3944</v>
      </c>
      <c r="C43" s="4" t="s">
        <v>3923</v>
      </c>
      <c r="D43" s="4" t="s">
        <v>3926</v>
      </c>
      <c r="E43" s="7" t="n">
        <v>2</v>
      </c>
    </row>
    <row r="44" customFormat="false" ht="15" hidden="false" customHeight="false" outlineLevel="0" collapsed="false">
      <c r="A44" s="4" t="s">
        <v>312</v>
      </c>
      <c r="B44" s="4" t="s">
        <v>3944</v>
      </c>
      <c r="C44" s="4" t="s">
        <v>3923</v>
      </c>
      <c r="D44" s="4" t="s">
        <v>3926</v>
      </c>
      <c r="E44" s="7" t="n">
        <v>1</v>
      </c>
    </row>
    <row r="45" customFormat="false" ht="15" hidden="false" customHeight="false" outlineLevel="0" collapsed="false">
      <c r="A45" s="4" t="s">
        <v>320</v>
      </c>
      <c r="B45" s="4" t="s">
        <v>3930</v>
      </c>
      <c r="C45" s="4" t="s">
        <v>3923</v>
      </c>
      <c r="D45" s="4" t="s">
        <v>3937</v>
      </c>
      <c r="E45" s="7" t="n">
        <v>2</v>
      </c>
    </row>
    <row r="46" customFormat="false" ht="15" hidden="false" customHeight="false" outlineLevel="0" collapsed="false">
      <c r="A46" s="4" t="s">
        <v>328</v>
      </c>
      <c r="B46" s="4" t="s">
        <v>3934</v>
      </c>
      <c r="C46" s="4" t="s">
        <v>3923</v>
      </c>
      <c r="D46" s="4" t="s">
        <v>3924</v>
      </c>
      <c r="E46" s="7" t="n">
        <v>3</v>
      </c>
    </row>
    <row r="47" customFormat="false" ht="15" hidden="false" customHeight="false" outlineLevel="0" collapsed="false">
      <c r="A47" s="4" t="s">
        <v>328</v>
      </c>
      <c r="B47" s="4" t="s">
        <v>3941</v>
      </c>
      <c r="C47" s="4" t="s">
        <v>3923</v>
      </c>
      <c r="D47" s="4" t="s">
        <v>3928</v>
      </c>
      <c r="E47" s="7" t="n">
        <v>2</v>
      </c>
    </row>
    <row r="48" customFormat="false" ht="15" hidden="false" customHeight="false" outlineLevel="0" collapsed="false">
      <c r="A48" s="4" t="s">
        <v>336</v>
      </c>
      <c r="B48" s="4" t="s">
        <v>3934</v>
      </c>
      <c r="C48" s="4" t="s">
        <v>3923</v>
      </c>
      <c r="D48" s="4" t="s">
        <v>3933</v>
      </c>
      <c r="E48" s="7" t="n">
        <v>2</v>
      </c>
    </row>
    <row r="49" customFormat="false" ht="15" hidden="false" customHeight="false" outlineLevel="0" collapsed="false">
      <c r="A49" s="4" t="s">
        <v>344</v>
      </c>
      <c r="B49" s="4" t="s">
        <v>3941</v>
      </c>
      <c r="C49" s="4" t="s">
        <v>3923</v>
      </c>
      <c r="D49" s="4" t="s">
        <v>3937</v>
      </c>
      <c r="E49" s="7" t="n">
        <v>1</v>
      </c>
    </row>
    <row r="50" customFormat="false" ht="15" hidden="false" customHeight="false" outlineLevel="0" collapsed="false">
      <c r="A50" s="4" t="s">
        <v>344</v>
      </c>
      <c r="B50" s="4" t="s">
        <v>3940</v>
      </c>
      <c r="C50" s="4" t="s">
        <v>3923</v>
      </c>
      <c r="D50" s="4" t="s">
        <v>3926</v>
      </c>
      <c r="E50" s="7" t="n">
        <v>4</v>
      </c>
    </row>
    <row r="51" customFormat="false" ht="15" hidden="false" customHeight="false" outlineLevel="0" collapsed="false">
      <c r="A51" s="4" t="s">
        <v>344</v>
      </c>
      <c r="B51" s="4" t="s">
        <v>3942</v>
      </c>
      <c r="C51" s="4" t="s">
        <v>3923</v>
      </c>
      <c r="D51" s="4" t="s">
        <v>3926</v>
      </c>
      <c r="E51" s="7" t="n">
        <v>4</v>
      </c>
    </row>
    <row r="52" customFormat="false" ht="15" hidden="false" customHeight="false" outlineLevel="0" collapsed="false">
      <c r="A52" s="4" t="s">
        <v>352</v>
      </c>
      <c r="B52" s="4" t="s">
        <v>3932</v>
      </c>
      <c r="C52" s="4" t="s">
        <v>3923</v>
      </c>
      <c r="D52" s="4" t="s">
        <v>3935</v>
      </c>
      <c r="E52" s="7" t="n">
        <v>1</v>
      </c>
    </row>
    <row r="53" customFormat="false" ht="15" hidden="false" customHeight="false" outlineLevel="0" collapsed="false">
      <c r="A53" s="4" t="s">
        <v>352</v>
      </c>
      <c r="B53" s="4" t="s">
        <v>3941</v>
      </c>
      <c r="C53" s="4" t="s">
        <v>3923</v>
      </c>
      <c r="D53" s="4" t="s">
        <v>3926</v>
      </c>
      <c r="E53" s="7" t="n">
        <v>4</v>
      </c>
    </row>
    <row r="54" customFormat="false" ht="15" hidden="false" customHeight="false" outlineLevel="0" collapsed="false">
      <c r="A54" s="4" t="s">
        <v>360</v>
      </c>
      <c r="B54" s="4" t="s">
        <v>3939</v>
      </c>
      <c r="C54" s="4" t="s">
        <v>3923</v>
      </c>
      <c r="D54" s="4" t="s">
        <v>3926</v>
      </c>
      <c r="E54" s="7" t="n">
        <v>2</v>
      </c>
    </row>
    <row r="55" customFormat="false" ht="15" hidden="false" customHeight="false" outlineLevel="0" collapsed="false">
      <c r="A55" s="4" t="s">
        <v>360</v>
      </c>
      <c r="B55" s="4" t="s">
        <v>3925</v>
      </c>
      <c r="C55" s="4" t="s">
        <v>3923</v>
      </c>
      <c r="D55" s="4" t="s">
        <v>3924</v>
      </c>
      <c r="E55" s="7" t="n">
        <v>4</v>
      </c>
    </row>
    <row r="56" customFormat="false" ht="15" hidden="false" customHeight="false" outlineLevel="0" collapsed="false">
      <c r="A56" s="4" t="s">
        <v>368</v>
      </c>
      <c r="B56" s="4" t="s">
        <v>3945</v>
      </c>
      <c r="C56" s="4" t="s">
        <v>3923</v>
      </c>
      <c r="D56" s="4" t="s">
        <v>3933</v>
      </c>
      <c r="E56" s="7" t="n">
        <v>3</v>
      </c>
    </row>
    <row r="57" customFormat="false" ht="15" hidden="false" customHeight="false" outlineLevel="0" collapsed="false">
      <c r="A57" s="4" t="s">
        <v>368</v>
      </c>
      <c r="B57" s="4" t="s">
        <v>3936</v>
      </c>
      <c r="C57" s="4" t="s">
        <v>3923</v>
      </c>
      <c r="D57" s="4" t="s">
        <v>3937</v>
      </c>
      <c r="E57" s="7" t="n">
        <v>2</v>
      </c>
    </row>
    <row r="58" customFormat="false" ht="15" hidden="false" customHeight="false" outlineLevel="0" collapsed="false">
      <c r="A58" s="4" t="s">
        <v>368</v>
      </c>
      <c r="B58" s="4" t="s">
        <v>3931</v>
      </c>
      <c r="C58" s="4" t="s">
        <v>3923</v>
      </c>
      <c r="D58" s="4" t="s">
        <v>3924</v>
      </c>
      <c r="E58" s="7" t="n">
        <v>4</v>
      </c>
    </row>
    <row r="59" customFormat="false" ht="15" hidden="false" customHeight="false" outlineLevel="0" collapsed="false">
      <c r="A59" s="4" t="s">
        <v>384</v>
      </c>
      <c r="B59" s="4" t="s">
        <v>3932</v>
      </c>
      <c r="C59" s="4" t="s">
        <v>3923</v>
      </c>
      <c r="D59" s="4" t="s">
        <v>3935</v>
      </c>
      <c r="E59" s="7" t="n">
        <v>4</v>
      </c>
    </row>
    <row r="60" customFormat="false" ht="15" hidden="false" customHeight="false" outlineLevel="0" collapsed="false">
      <c r="A60" s="4" t="s">
        <v>384</v>
      </c>
      <c r="B60" s="4" t="s">
        <v>3946</v>
      </c>
      <c r="C60" s="4" t="s">
        <v>3923</v>
      </c>
      <c r="D60" s="4" t="s">
        <v>3937</v>
      </c>
      <c r="E60" s="7" t="n">
        <v>3</v>
      </c>
    </row>
    <row r="61" customFormat="false" ht="15" hidden="false" customHeight="false" outlineLevel="0" collapsed="false">
      <c r="A61" s="4" t="s">
        <v>392</v>
      </c>
      <c r="B61" s="4" t="s">
        <v>3932</v>
      </c>
      <c r="C61" s="4" t="s">
        <v>3923</v>
      </c>
      <c r="D61" s="4" t="s">
        <v>3924</v>
      </c>
      <c r="E61" s="7" t="n">
        <v>1</v>
      </c>
    </row>
    <row r="62" customFormat="false" ht="15" hidden="false" customHeight="false" outlineLevel="0" collapsed="false">
      <c r="A62" s="4" t="s">
        <v>392</v>
      </c>
      <c r="B62" s="4" t="s">
        <v>3931</v>
      </c>
      <c r="C62" s="4" t="s">
        <v>3923</v>
      </c>
      <c r="D62" s="4" t="s">
        <v>3926</v>
      </c>
      <c r="E62" s="7" t="n">
        <v>3</v>
      </c>
    </row>
    <row r="63" customFormat="false" ht="15" hidden="false" customHeight="false" outlineLevel="0" collapsed="false">
      <c r="A63" s="4" t="s">
        <v>400</v>
      </c>
      <c r="B63" s="4" t="s">
        <v>3938</v>
      </c>
      <c r="C63" s="4" t="s">
        <v>3923</v>
      </c>
      <c r="D63" s="4" t="s">
        <v>3933</v>
      </c>
      <c r="E63" s="7" t="n">
        <v>4</v>
      </c>
    </row>
    <row r="64" customFormat="false" ht="15" hidden="false" customHeight="false" outlineLevel="0" collapsed="false">
      <c r="A64" s="4" t="s">
        <v>400</v>
      </c>
      <c r="B64" s="4" t="s">
        <v>3941</v>
      </c>
      <c r="C64" s="4" t="s">
        <v>3923</v>
      </c>
      <c r="D64" s="4" t="s">
        <v>3926</v>
      </c>
      <c r="E64" s="7" t="n">
        <v>4</v>
      </c>
    </row>
    <row r="65" customFormat="false" ht="15" hidden="false" customHeight="false" outlineLevel="0" collapsed="false">
      <c r="A65" s="4" t="s">
        <v>408</v>
      </c>
      <c r="B65" s="4" t="s">
        <v>3944</v>
      </c>
      <c r="C65" s="4" t="s">
        <v>3923</v>
      </c>
      <c r="D65" s="4" t="s">
        <v>3926</v>
      </c>
      <c r="E65" s="7" t="n">
        <v>1</v>
      </c>
    </row>
    <row r="66" customFormat="false" ht="15" hidden="false" customHeight="false" outlineLevel="0" collapsed="false">
      <c r="A66" s="4" t="s">
        <v>424</v>
      </c>
      <c r="B66" s="4" t="s">
        <v>3934</v>
      </c>
      <c r="C66" s="4" t="s">
        <v>3923</v>
      </c>
      <c r="D66" s="4" t="s">
        <v>3926</v>
      </c>
      <c r="E66" s="7" t="n">
        <v>2</v>
      </c>
    </row>
    <row r="67" customFormat="false" ht="15" hidden="false" customHeight="false" outlineLevel="0" collapsed="false">
      <c r="A67" s="4" t="s">
        <v>432</v>
      </c>
      <c r="B67" s="4" t="s">
        <v>3925</v>
      </c>
      <c r="C67" s="4" t="s">
        <v>3923</v>
      </c>
      <c r="D67" s="4" t="s">
        <v>3926</v>
      </c>
      <c r="E67" s="7" t="n">
        <v>4</v>
      </c>
    </row>
    <row r="68" customFormat="false" ht="15" hidden="false" customHeight="false" outlineLevel="0" collapsed="false">
      <c r="A68" s="4" t="s">
        <v>432</v>
      </c>
      <c r="B68" s="4" t="s">
        <v>3944</v>
      </c>
      <c r="C68" s="4" t="s">
        <v>3923</v>
      </c>
      <c r="D68" s="4" t="s">
        <v>3926</v>
      </c>
      <c r="E68" s="7" t="n">
        <v>3</v>
      </c>
    </row>
    <row r="69" customFormat="false" ht="15" hidden="false" customHeight="false" outlineLevel="0" collapsed="false">
      <c r="A69" s="4" t="s">
        <v>440</v>
      </c>
      <c r="B69" s="4" t="s">
        <v>3945</v>
      </c>
      <c r="C69" s="4" t="s">
        <v>3923</v>
      </c>
      <c r="D69" s="4" t="s">
        <v>3933</v>
      </c>
      <c r="E69" s="7" t="n">
        <v>3</v>
      </c>
    </row>
    <row r="70" customFormat="false" ht="15" hidden="false" customHeight="false" outlineLevel="0" collapsed="false">
      <c r="A70" s="4" t="s">
        <v>440</v>
      </c>
      <c r="B70" s="4" t="s">
        <v>3922</v>
      </c>
      <c r="C70" s="4" t="s">
        <v>3923</v>
      </c>
      <c r="D70" s="4" t="s">
        <v>3928</v>
      </c>
      <c r="E70" s="7" t="n">
        <v>1</v>
      </c>
    </row>
    <row r="71" customFormat="false" ht="15" hidden="false" customHeight="false" outlineLevel="0" collapsed="false">
      <c r="A71" s="4" t="s">
        <v>448</v>
      </c>
      <c r="B71" s="4" t="s">
        <v>3929</v>
      </c>
      <c r="C71" s="4" t="s">
        <v>3923</v>
      </c>
      <c r="D71" s="4" t="s">
        <v>3937</v>
      </c>
      <c r="E71" s="7" t="n">
        <v>1</v>
      </c>
    </row>
    <row r="72" customFormat="false" ht="15" hidden="false" customHeight="false" outlineLevel="0" collapsed="false">
      <c r="A72" s="4" t="s">
        <v>448</v>
      </c>
      <c r="B72" s="4" t="s">
        <v>3936</v>
      </c>
      <c r="C72" s="4" t="s">
        <v>3923</v>
      </c>
      <c r="D72" s="4" t="s">
        <v>3926</v>
      </c>
      <c r="E72" s="7" t="n">
        <v>2</v>
      </c>
    </row>
    <row r="73" customFormat="false" ht="15" hidden="false" customHeight="false" outlineLevel="0" collapsed="false">
      <c r="A73" s="4" t="s">
        <v>464</v>
      </c>
      <c r="B73" s="4" t="s">
        <v>3931</v>
      </c>
      <c r="C73" s="4" t="s">
        <v>3923</v>
      </c>
      <c r="D73" s="4" t="s">
        <v>3926</v>
      </c>
      <c r="E73" s="7" t="n">
        <v>4</v>
      </c>
    </row>
    <row r="74" customFormat="false" ht="15" hidden="false" customHeight="false" outlineLevel="0" collapsed="false">
      <c r="A74" s="4" t="s">
        <v>464</v>
      </c>
      <c r="B74" s="4" t="s">
        <v>3934</v>
      </c>
      <c r="C74" s="4" t="s">
        <v>3923</v>
      </c>
      <c r="D74" s="4" t="s">
        <v>3926</v>
      </c>
      <c r="E74" s="7" t="n">
        <v>2</v>
      </c>
    </row>
    <row r="75" customFormat="false" ht="15" hidden="false" customHeight="false" outlineLevel="0" collapsed="false">
      <c r="A75" s="4" t="s">
        <v>464</v>
      </c>
      <c r="B75" s="4" t="s">
        <v>3940</v>
      </c>
      <c r="C75" s="4" t="s">
        <v>3923</v>
      </c>
      <c r="D75" s="4" t="s">
        <v>3935</v>
      </c>
      <c r="E75" s="7" t="n">
        <v>2</v>
      </c>
    </row>
    <row r="76" customFormat="false" ht="15" hidden="false" customHeight="false" outlineLevel="0" collapsed="false">
      <c r="A76" s="4" t="s">
        <v>472</v>
      </c>
      <c r="B76" s="4" t="s">
        <v>3930</v>
      </c>
      <c r="C76" s="4" t="s">
        <v>3923</v>
      </c>
      <c r="D76" s="4" t="s">
        <v>3926</v>
      </c>
      <c r="E76" s="7" t="n">
        <v>1</v>
      </c>
    </row>
    <row r="77" customFormat="false" ht="15" hidden="false" customHeight="false" outlineLevel="0" collapsed="false">
      <c r="A77" s="4" t="s">
        <v>480</v>
      </c>
      <c r="B77" s="4" t="s">
        <v>3945</v>
      </c>
      <c r="C77" s="4" t="s">
        <v>3923</v>
      </c>
      <c r="D77" s="4" t="s">
        <v>3937</v>
      </c>
      <c r="E77" s="7" t="n">
        <v>1</v>
      </c>
    </row>
    <row r="78" customFormat="false" ht="15" hidden="false" customHeight="false" outlineLevel="0" collapsed="false">
      <c r="A78" s="4" t="s">
        <v>488</v>
      </c>
      <c r="B78" s="4" t="s">
        <v>3946</v>
      </c>
      <c r="C78" s="4" t="s">
        <v>3923</v>
      </c>
      <c r="D78" s="4" t="s">
        <v>3926</v>
      </c>
      <c r="E78" s="7" t="n">
        <v>2</v>
      </c>
    </row>
    <row r="79" customFormat="false" ht="15" hidden="false" customHeight="false" outlineLevel="0" collapsed="false">
      <c r="A79" s="4" t="s">
        <v>496</v>
      </c>
      <c r="B79" s="4" t="s">
        <v>3938</v>
      </c>
      <c r="C79" s="4" t="s">
        <v>3923</v>
      </c>
      <c r="D79" s="4" t="s">
        <v>3924</v>
      </c>
      <c r="E79" s="7" t="n">
        <v>2</v>
      </c>
    </row>
    <row r="80" customFormat="false" ht="15" hidden="false" customHeight="false" outlineLevel="0" collapsed="false">
      <c r="A80" s="4" t="s">
        <v>496</v>
      </c>
      <c r="B80" s="4" t="s">
        <v>3927</v>
      </c>
      <c r="C80" s="4" t="s">
        <v>3923</v>
      </c>
      <c r="D80" s="4" t="s">
        <v>3926</v>
      </c>
      <c r="E80" s="7" t="n">
        <v>1</v>
      </c>
    </row>
    <row r="81" customFormat="false" ht="15" hidden="false" customHeight="false" outlineLevel="0" collapsed="false">
      <c r="A81" s="4" t="s">
        <v>504</v>
      </c>
      <c r="B81" s="4" t="s">
        <v>3941</v>
      </c>
      <c r="C81" s="4" t="s">
        <v>3923</v>
      </c>
      <c r="D81" s="4" t="s">
        <v>3933</v>
      </c>
      <c r="E81" s="7" t="n">
        <v>3</v>
      </c>
    </row>
    <row r="82" customFormat="false" ht="15" hidden="false" customHeight="false" outlineLevel="0" collapsed="false">
      <c r="A82" s="4" t="s">
        <v>504</v>
      </c>
      <c r="B82" s="4" t="s">
        <v>3943</v>
      </c>
      <c r="C82" s="4" t="s">
        <v>3923</v>
      </c>
      <c r="D82" s="4" t="s">
        <v>3935</v>
      </c>
      <c r="E82" s="7" t="n">
        <v>1</v>
      </c>
    </row>
    <row r="83" customFormat="false" ht="15" hidden="false" customHeight="false" outlineLevel="0" collapsed="false">
      <c r="A83" s="4" t="s">
        <v>512</v>
      </c>
      <c r="B83" s="4" t="s">
        <v>3931</v>
      </c>
      <c r="C83" s="4" t="s">
        <v>3923</v>
      </c>
      <c r="D83" s="4" t="s">
        <v>3935</v>
      </c>
      <c r="E83" s="7" t="n">
        <v>1</v>
      </c>
    </row>
    <row r="84" customFormat="false" ht="15" hidden="false" customHeight="false" outlineLevel="0" collapsed="false">
      <c r="A84" s="4" t="s">
        <v>512</v>
      </c>
      <c r="B84" s="4" t="s">
        <v>3938</v>
      </c>
      <c r="C84" s="4" t="s">
        <v>3923</v>
      </c>
      <c r="D84" s="4" t="s">
        <v>3926</v>
      </c>
      <c r="E84" s="7" t="n">
        <v>4</v>
      </c>
    </row>
    <row r="85" customFormat="false" ht="15" hidden="false" customHeight="false" outlineLevel="0" collapsed="false">
      <c r="A85" s="4" t="s">
        <v>519</v>
      </c>
      <c r="B85" s="4" t="s">
        <v>3938</v>
      </c>
      <c r="C85" s="4" t="s">
        <v>3923</v>
      </c>
      <c r="D85" s="4" t="s">
        <v>3926</v>
      </c>
      <c r="E85" s="7" t="n">
        <v>2</v>
      </c>
    </row>
    <row r="86" customFormat="false" ht="15" hidden="false" customHeight="false" outlineLevel="0" collapsed="false">
      <c r="A86" s="4" t="s">
        <v>527</v>
      </c>
      <c r="B86" s="4" t="s">
        <v>3930</v>
      </c>
      <c r="C86" s="4" t="s">
        <v>3923</v>
      </c>
      <c r="D86" s="4" t="s">
        <v>3937</v>
      </c>
      <c r="E86" s="7" t="n">
        <v>4</v>
      </c>
    </row>
    <row r="87" customFormat="false" ht="15" hidden="false" customHeight="false" outlineLevel="0" collapsed="false">
      <c r="A87" s="4" t="s">
        <v>535</v>
      </c>
      <c r="B87" s="4" t="s">
        <v>3927</v>
      </c>
      <c r="C87" s="4" t="s">
        <v>3923</v>
      </c>
      <c r="D87" s="4" t="s">
        <v>3926</v>
      </c>
      <c r="E87" s="7" t="n">
        <v>4</v>
      </c>
    </row>
    <row r="88" customFormat="false" ht="15" hidden="false" customHeight="false" outlineLevel="0" collapsed="false">
      <c r="A88" s="4" t="s">
        <v>535</v>
      </c>
      <c r="B88" s="4" t="s">
        <v>3939</v>
      </c>
      <c r="C88" s="4" t="s">
        <v>3923</v>
      </c>
      <c r="D88" s="4" t="s">
        <v>3926</v>
      </c>
      <c r="E88" s="7" t="n">
        <v>1</v>
      </c>
    </row>
    <row r="89" customFormat="false" ht="15" hidden="false" customHeight="false" outlineLevel="0" collapsed="false">
      <c r="A89" s="4" t="s">
        <v>542</v>
      </c>
      <c r="B89" s="4" t="s">
        <v>3936</v>
      </c>
      <c r="C89" s="4" t="s">
        <v>3923</v>
      </c>
      <c r="D89" s="4" t="s">
        <v>3926</v>
      </c>
      <c r="E89" s="7" t="n">
        <v>4</v>
      </c>
    </row>
    <row r="90" customFormat="false" ht="15" hidden="false" customHeight="false" outlineLevel="0" collapsed="false">
      <c r="A90" s="4" t="s">
        <v>542</v>
      </c>
      <c r="B90" s="4" t="s">
        <v>3944</v>
      </c>
      <c r="C90" s="4" t="s">
        <v>3923</v>
      </c>
      <c r="D90" s="4" t="s">
        <v>3926</v>
      </c>
      <c r="E90" s="7" t="n">
        <v>2</v>
      </c>
    </row>
    <row r="91" customFormat="false" ht="15" hidden="false" customHeight="false" outlineLevel="0" collapsed="false">
      <c r="A91" s="4" t="s">
        <v>542</v>
      </c>
      <c r="B91" s="4" t="s">
        <v>3934</v>
      </c>
      <c r="C91" s="4" t="s">
        <v>3923</v>
      </c>
      <c r="D91" s="4" t="s">
        <v>3926</v>
      </c>
      <c r="E91" s="7" t="n">
        <v>3</v>
      </c>
    </row>
    <row r="92" customFormat="false" ht="15" hidden="false" customHeight="false" outlineLevel="0" collapsed="false">
      <c r="A92" s="4" t="s">
        <v>550</v>
      </c>
      <c r="B92" s="4" t="s">
        <v>3934</v>
      </c>
      <c r="C92" s="4" t="s">
        <v>3923</v>
      </c>
      <c r="D92" s="4" t="s">
        <v>3926</v>
      </c>
      <c r="E92" s="7" t="n">
        <v>2</v>
      </c>
    </row>
    <row r="93" customFormat="false" ht="15" hidden="false" customHeight="false" outlineLevel="0" collapsed="false">
      <c r="A93" s="4" t="s">
        <v>550</v>
      </c>
      <c r="B93" s="4" t="s">
        <v>3944</v>
      </c>
      <c r="C93" s="4" t="s">
        <v>3923</v>
      </c>
      <c r="D93" s="4" t="s">
        <v>3926</v>
      </c>
      <c r="E93" s="7" t="n">
        <v>2</v>
      </c>
    </row>
    <row r="94" customFormat="false" ht="15" hidden="false" customHeight="false" outlineLevel="0" collapsed="false">
      <c r="A94" s="4" t="s">
        <v>565</v>
      </c>
      <c r="B94" s="4" t="s">
        <v>3942</v>
      </c>
      <c r="C94" s="4" t="s">
        <v>3923</v>
      </c>
      <c r="D94" s="4" t="s">
        <v>3926</v>
      </c>
      <c r="E94" s="7" t="n">
        <v>2</v>
      </c>
    </row>
    <row r="95" customFormat="false" ht="15" hidden="false" customHeight="false" outlineLevel="0" collapsed="false">
      <c r="A95" s="4" t="s">
        <v>573</v>
      </c>
      <c r="B95" s="4" t="s">
        <v>3942</v>
      </c>
      <c r="C95" s="4" t="s">
        <v>3923</v>
      </c>
      <c r="D95" s="4" t="s">
        <v>3935</v>
      </c>
      <c r="E95" s="7" t="n">
        <v>2</v>
      </c>
    </row>
    <row r="96" customFormat="false" ht="15" hidden="false" customHeight="false" outlineLevel="0" collapsed="false">
      <c r="A96" s="4" t="s">
        <v>581</v>
      </c>
      <c r="B96" s="4" t="s">
        <v>3940</v>
      </c>
      <c r="C96" s="4" t="s">
        <v>3923</v>
      </c>
      <c r="D96" s="4" t="s">
        <v>3926</v>
      </c>
      <c r="E96" s="7" t="n">
        <v>3</v>
      </c>
    </row>
    <row r="97" customFormat="false" ht="15" hidden="false" customHeight="false" outlineLevel="0" collapsed="false">
      <c r="A97" s="4" t="s">
        <v>581</v>
      </c>
      <c r="B97" s="4" t="s">
        <v>3922</v>
      </c>
      <c r="C97" s="4" t="s">
        <v>3923</v>
      </c>
      <c r="D97" s="4" t="s">
        <v>3933</v>
      </c>
      <c r="E97" s="7" t="n">
        <v>2</v>
      </c>
    </row>
    <row r="98" customFormat="false" ht="15" hidden="false" customHeight="false" outlineLevel="0" collapsed="false">
      <c r="A98" s="4" t="s">
        <v>597</v>
      </c>
      <c r="B98" s="4" t="s">
        <v>3943</v>
      </c>
      <c r="C98" s="4" t="s">
        <v>3923</v>
      </c>
      <c r="D98" s="4" t="s">
        <v>3926</v>
      </c>
      <c r="E98" s="7" t="n">
        <v>4</v>
      </c>
    </row>
    <row r="99" customFormat="false" ht="15" hidden="false" customHeight="false" outlineLevel="0" collapsed="false">
      <c r="A99" s="4" t="s">
        <v>605</v>
      </c>
      <c r="B99" s="4" t="s">
        <v>3929</v>
      </c>
      <c r="C99" s="4" t="s">
        <v>3923</v>
      </c>
      <c r="D99" s="4" t="s">
        <v>3926</v>
      </c>
      <c r="E99" s="7" t="n">
        <v>4</v>
      </c>
    </row>
    <row r="100" customFormat="false" ht="15" hidden="false" customHeight="false" outlineLevel="0" collapsed="false">
      <c r="A100" s="4" t="s">
        <v>613</v>
      </c>
      <c r="B100" s="4" t="s">
        <v>3942</v>
      </c>
      <c r="C100" s="4" t="s">
        <v>3923</v>
      </c>
      <c r="D100" s="4" t="s">
        <v>3937</v>
      </c>
      <c r="E100" s="7" t="n">
        <v>3</v>
      </c>
    </row>
    <row r="101" customFormat="false" ht="15" hidden="false" customHeight="false" outlineLevel="0" collapsed="false">
      <c r="A101" s="4" t="s">
        <v>613</v>
      </c>
      <c r="B101" s="4" t="s">
        <v>3936</v>
      </c>
      <c r="C101" s="4" t="s">
        <v>3923</v>
      </c>
      <c r="D101" s="4" t="s">
        <v>3926</v>
      </c>
      <c r="E101" s="7" t="n">
        <v>4</v>
      </c>
    </row>
    <row r="102" customFormat="false" ht="15" hidden="false" customHeight="false" outlineLevel="0" collapsed="false">
      <c r="A102" s="4" t="s">
        <v>613</v>
      </c>
      <c r="B102" s="4" t="s">
        <v>3943</v>
      </c>
      <c r="C102" s="4" t="s">
        <v>3923</v>
      </c>
      <c r="D102" s="4" t="s">
        <v>3935</v>
      </c>
      <c r="E102" s="7" t="n">
        <v>1</v>
      </c>
    </row>
    <row r="103" customFormat="false" ht="15" hidden="false" customHeight="false" outlineLevel="0" collapsed="false">
      <c r="A103" s="4" t="s">
        <v>621</v>
      </c>
      <c r="B103" s="4" t="s">
        <v>3945</v>
      </c>
      <c r="C103" s="4" t="s">
        <v>3923</v>
      </c>
      <c r="D103" s="4" t="s">
        <v>3924</v>
      </c>
      <c r="E103" s="7" t="n">
        <v>1</v>
      </c>
    </row>
    <row r="104" customFormat="false" ht="15" hidden="false" customHeight="false" outlineLevel="0" collapsed="false">
      <c r="A104" s="4" t="s">
        <v>629</v>
      </c>
      <c r="B104" s="4" t="s">
        <v>3936</v>
      </c>
      <c r="C104" s="4" t="s">
        <v>3923</v>
      </c>
      <c r="D104" s="4" t="s">
        <v>3926</v>
      </c>
      <c r="E104" s="7" t="n">
        <v>3</v>
      </c>
    </row>
    <row r="105" customFormat="false" ht="15" hidden="false" customHeight="false" outlineLevel="0" collapsed="false">
      <c r="A105" s="4" t="s">
        <v>629</v>
      </c>
      <c r="B105" s="4" t="s">
        <v>3927</v>
      </c>
      <c r="C105" s="4" t="s">
        <v>3923</v>
      </c>
      <c r="D105" s="4" t="s">
        <v>3933</v>
      </c>
      <c r="E105" s="7" t="n">
        <v>3</v>
      </c>
    </row>
    <row r="106" customFormat="false" ht="15" hidden="false" customHeight="false" outlineLevel="0" collapsed="false">
      <c r="A106" s="4" t="s">
        <v>637</v>
      </c>
      <c r="B106" s="4" t="s">
        <v>3927</v>
      </c>
      <c r="C106" s="4" t="s">
        <v>3923</v>
      </c>
      <c r="D106" s="4" t="s">
        <v>3926</v>
      </c>
      <c r="E106" s="7" t="n">
        <v>1</v>
      </c>
    </row>
    <row r="107" customFormat="false" ht="15" hidden="false" customHeight="false" outlineLevel="0" collapsed="false">
      <c r="A107" s="4" t="s">
        <v>652</v>
      </c>
      <c r="B107" s="4" t="s">
        <v>3944</v>
      </c>
      <c r="C107" s="4" t="s">
        <v>3923</v>
      </c>
      <c r="D107" s="4" t="s">
        <v>3935</v>
      </c>
      <c r="E107" s="7" t="n">
        <v>1</v>
      </c>
    </row>
    <row r="108" customFormat="false" ht="15" hidden="false" customHeight="false" outlineLevel="0" collapsed="false">
      <c r="A108" s="4" t="s">
        <v>660</v>
      </c>
      <c r="B108" s="4" t="s">
        <v>3939</v>
      </c>
      <c r="C108" s="4" t="s">
        <v>3923</v>
      </c>
      <c r="D108" s="4" t="s">
        <v>3926</v>
      </c>
      <c r="E108" s="7" t="n">
        <v>1</v>
      </c>
    </row>
    <row r="109" customFormat="false" ht="15" hidden="false" customHeight="false" outlineLevel="0" collapsed="false">
      <c r="A109" s="4" t="s">
        <v>668</v>
      </c>
      <c r="B109" s="4" t="s">
        <v>3943</v>
      </c>
      <c r="C109" s="4" t="s">
        <v>3923</v>
      </c>
      <c r="D109" s="4" t="s">
        <v>3935</v>
      </c>
      <c r="E109" s="7" t="n">
        <v>3</v>
      </c>
    </row>
    <row r="110" customFormat="false" ht="15" hidden="false" customHeight="false" outlineLevel="0" collapsed="false">
      <c r="A110" s="4" t="s">
        <v>668</v>
      </c>
      <c r="B110" s="4" t="s">
        <v>3946</v>
      </c>
      <c r="C110" s="4" t="s">
        <v>3923</v>
      </c>
      <c r="D110" s="4" t="s">
        <v>3935</v>
      </c>
      <c r="E110" s="7" t="n">
        <v>2</v>
      </c>
    </row>
    <row r="111" customFormat="false" ht="15" hidden="false" customHeight="false" outlineLevel="0" collapsed="false">
      <c r="A111" s="4" t="s">
        <v>676</v>
      </c>
      <c r="B111" s="4" t="s">
        <v>3943</v>
      </c>
      <c r="C111" s="4" t="s">
        <v>3923</v>
      </c>
      <c r="D111" s="4" t="s">
        <v>3926</v>
      </c>
      <c r="E111" s="7" t="n">
        <v>4</v>
      </c>
    </row>
    <row r="112" customFormat="false" ht="15" hidden="false" customHeight="false" outlineLevel="0" collapsed="false">
      <c r="A112" s="4" t="s">
        <v>684</v>
      </c>
      <c r="B112" s="4" t="s">
        <v>3925</v>
      </c>
      <c r="C112" s="4" t="s">
        <v>3923</v>
      </c>
      <c r="D112" s="4" t="s">
        <v>3926</v>
      </c>
      <c r="E112" s="7" t="n">
        <v>2</v>
      </c>
    </row>
    <row r="113" customFormat="false" ht="15" hidden="false" customHeight="false" outlineLevel="0" collapsed="false">
      <c r="A113" s="4" t="s">
        <v>684</v>
      </c>
      <c r="B113" s="4" t="s">
        <v>3942</v>
      </c>
      <c r="C113" s="4" t="s">
        <v>3923</v>
      </c>
      <c r="D113" s="4" t="s">
        <v>3926</v>
      </c>
      <c r="E113" s="7" t="n">
        <v>4</v>
      </c>
    </row>
    <row r="114" customFormat="false" ht="15" hidden="false" customHeight="false" outlineLevel="0" collapsed="false">
      <c r="A114" s="4" t="s">
        <v>684</v>
      </c>
      <c r="B114" s="4" t="s">
        <v>3938</v>
      </c>
      <c r="C114" s="4" t="s">
        <v>3923</v>
      </c>
      <c r="D114" s="4" t="s">
        <v>3926</v>
      </c>
      <c r="E114" s="7" t="n">
        <v>2</v>
      </c>
    </row>
    <row r="115" customFormat="false" ht="15" hidden="false" customHeight="false" outlineLevel="0" collapsed="false">
      <c r="A115" s="4" t="s">
        <v>692</v>
      </c>
      <c r="B115" s="4" t="s">
        <v>3944</v>
      </c>
      <c r="C115" s="4" t="s">
        <v>3923</v>
      </c>
      <c r="D115" s="4" t="s">
        <v>3935</v>
      </c>
      <c r="E115" s="7" t="n">
        <v>2</v>
      </c>
    </row>
    <row r="116" customFormat="false" ht="15" hidden="false" customHeight="false" outlineLevel="0" collapsed="false">
      <c r="A116" s="4" t="s">
        <v>700</v>
      </c>
      <c r="B116" s="4" t="s">
        <v>3936</v>
      </c>
      <c r="C116" s="4" t="s">
        <v>3923</v>
      </c>
      <c r="D116" s="4" t="s">
        <v>3924</v>
      </c>
      <c r="E116" s="7" t="n">
        <v>1</v>
      </c>
    </row>
    <row r="117" customFormat="false" ht="15" hidden="false" customHeight="false" outlineLevel="0" collapsed="false">
      <c r="A117" s="4" t="s">
        <v>716</v>
      </c>
      <c r="B117" s="4" t="s">
        <v>3932</v>
      </c>
      <c r="C117" s="4" t="s">
        <v>3923</v>
      </c>
      <c r="D117" s="4" t="s">
        <v>3926</v>
      </c>
      <c r="E117" s="7" t="n">
        <v>1</v>
      </c>
    </row>
    <row r="118" customFormat="false" ht="15" hidden="false" customHeight="false" outlineLevel="0" collapsed="false">
      <c r="A118" s="4" t="s">
        <v>724</v>
      </c>
      <c r="B118" s="4" t="s">
        <v>3929</v>
      </c>
      <c r="C118" s="4" t="s">
        <v>3923</v>
      </c>
      <c r="D118" s="4" t="s">
        <v>3926</v>
      </c>
      <c r="E118" s="7" t="n">
        <v>4</v>
      </c>
    </row>
    <row r="119" customFormat="false" ht="15" hidden="false" customHeight="false" outlineLevel="0" collapsed="false">
      <c r="A119" s="4" t="s">
        <v>732</v>
      </c>
      <c r="B119" s="4" t="s">
        <v>3944</v>
      </c>
      <c r="C119" s="4" t="s">
        <v>3923</v>
      </c>
      <c r="D119" s="4" t="s">
        <v>3926</v>
      </c>
      <c r="E119" s="7" t="n">
        <v>1</v>
      </c>
    </row>
    <row r="120" customFormat="false" ht="15" hidden="false" customHeight="false" outlineLevel="0" collapsed="false">
      <c r="A120" s="4" t="s">
        <v>740</v>
      </c>
      <c r="B120" s="4" t="s">
        <v>3942</v>
      </c>
      <c r="C120" s="4" t="s">
        <v>3923</v>
      </c>
      <c r="D120" s="4" t="s">
        <v>3926</v>
      </c>
      <c r="E120" s="7" t="n">
        <v>1</v>
      </c>
    </row>
    <row r="121" customFormat="false" ht="15" hidden="false" customHeight="false" outlineLevel="0" collapsed="false">
      <c r="A121" s="4" t="s">
        <v>740</v>
      </c>
      <c r="B121" s="4" t="s">
        <v>3932</v>
      </c>
      <c r="C121" s="4" t="s">
        <v>3923</v>
      </c>
      <c r="D121" s="4" t="s">
        <v>3924</v>
      </c>
      <c r="E121" s="7" t="n">
        <v>1</v>
      </c>
    </row>
    <row r="122" customFormat="false" ht="15" hidden="false" customHeight="false" outlineLevel="0" collapsed="false">
      <c r="A122" s="4" t="s">
        <v>748</v>
      </c>
      <c r="B122" s="4" t="s">
        <v>3922</v>
      </c>
      <c r="C122" s="4" t="s">
        <v>3923</v>
      </c>
      <c r="D122" s="4" t="s">
        <v>3926</v>
      </c>
      <c r="E122" s="7" t="n">
        <v>3</v>
      </c>
    </row>
    <row r="123" customFormat="false" ht="15" hidden="false" customHeight="false" outlineLevel="0" collapsed="false">
      <c r="A123" s="4" t="s">
        <v>756</v>
      </c>
      <c r="B123" s="4" t="s">
        <v>3942</v>
      </c>
      <c r="C123" s="4" t="s">
        <v>3923</v>
      </c>
      <c r="D123" s="4" t="s">
        <v>3926</v>
      </c>
      <c r="E123" s="7" t="n">
        <v>2</v>
      </c>
    </row>
    <row r="124" customFormat="false" ht="15" hidden="false" customHeight="false" outlineLevel="0" collapsed="false">
      <c r="A124" s="4" t="s">
        <v>756</v>
      </c>
      <c r="B124" s="4" t="s">
        <v>3930</v>
      </c>
      <c r="C124" s="4" t="s">
        <v>3923</v>
      </c>
      <c r="D124" s="4" t="s">
        <v>3926</v>
      </c>
      <c r="E124" s="7" t="n">
        <v>3</v>
      </c>
    </row>
    <row r="125" customFormat="false" ht="15" hidden="false" customHeight="false" outlineLevel="0" collapsed="false">
      <c r="A125" s="4" t="s">
        <v>764</v>
      </c>
      <c r="B125" s="4" t="s">
        <v>3938</v>
      </c>
      <c r="C125" s="4" t="s">
        <v>3923</v>
      </c>
      <c r="D125" s="4" t="s">
        <v>3926</v>
      </c>
      <c r="E125" s="7" t="n">
        <v>1</v>
      </c>
    </row>
    <row r="126" customFormat="false" ht="15" hidden="false" customHeight="false" outlineLevel="0" collapsed="false">
      <c r="A126" s="4" t="s">
        <v>764</v>
      </c>
      <c r="B126" s="4" t="s">
        <v>3930</v>
      </c>
      <c r="C126" s="4" t="s">
        <v>3923</v>
      </c>
      <c r="D126" s="4" t="s">
        <v>3924</v>
      </c>
      <c r="E126" s="7" t="n">
        <v>4</v>
      </c>
    </row>
    <row r="127" customFormat="false" ht="15" hidden="false" customHeight="false" outlineLevel="0" collapsed="false">
      <c r="A127" s="4" t="s">
        <v>764</v>
      </c>
      <c r="B127" s="4" t="s">
        <v>3944</v>
      </c>
      <c r="C127" s="4" t="s">
        <v>3923</v>
      </c>
      <c r="D127" s="4" t="s">
        <v>3926</v>
      </c>
      <c r="E127" s="7" t="n">
        <v>4</v>
      </c>
    </row>
    <row r="128" customFormat="false" ht="15" hidden="false" customHeight="false" outlineLevel="0" collapsed="false">
      <c r="A128" s="4" t="s">
        <v>772</v>
      </c>
      <c r="B128" s="4" t="s">
        <v>3936</v>
      </c>
      <c r="C128" s="4" t="s">
        <v>3923</v>
      </c>
      <c r="D128" s="4" t="s">
        <v>3935</v>
      </c>
      <c r="E128" s="7" t="n">
        <v>4</v>
      </c>
    </row>
    <row r="129" customFormat="false" ht="15" hidden="false" customHeight="false" outlineLevel="0" collapsed="false">
      <c r="A129" s="4" t="s">
        <v>780</v>
      </c>
      <c r="B129" s="4" t="s">
        <v>3930</v>
      </c>
      <c r="C129" s="4" t="s">
        <v>3923</v>
      </c>
      <c r="D129" s="4" t="s">
        <v>3924</v>
      </c>
      <c r="E129" s="7" t="n">
        <v>2</v>
      </c>
    </row>
    <row r="130" customFormat="false" ht="15" hidden="false" customHeight="false" outlineLevel="0" collapsed="false">
      <c r="A130" s="4" t="s">
        <v>780</v>
      </c>
      <c r="B130" s="4" t="s">
        <v>3944</v>
      </c>
      <c r="C130" s="4" t="s">
        <v>3923</v>
      </c>
      <c r="D130" s="4" t="s">
        <v>3924</v>
      </c>
      <c r="E130" s="7" t="n">
        <v>3</v>
      </c>
    </row>
    <row r="131" customFormat="false" ht="15" hidden="false" customHeight="false" outlineLevel="0" collapsed="false">
      <c r="A131" s="4" t="s">
        <v>788</v>
      </c>
      <c r="B131" s="4" t="s">
        <v>3945</v>
      </c>
      <c r="C131" s="4" t="s">
        <v>3923</v>
      </c>
      <c r="D131" s="4" t="s">
        <v>3935</v>
      </c>
      <c r="E131" s="7" t="n">
        <v>2</v>
      </c>
    </row>
    <row r="132" customFormat="false" ht="15" hidden="false" customHeight="false" outlineLevel="0" collapsed="false">
      <c r="A132" s="4" t="s">
        <v>788</v>
      </c>
      <c r="B132" s="4" t="s">
        <v>3943</v>
      </c>
      <c r="C132" s="4" t="s">
        <v>3923</v>
      </c>
      <c r="D132" s="4" t="s">
        <v>3937</v>
      </c>
      <c r="E132" s="7" t="n">
        <v>4</v>
      </c>
    </row>
    <row r="133" customFormat="false" ht="15" hidden="false" customHeight="false" outlineLevel="0" collapsed="false">
      <c r="A133" s="4" t="s">
        <v>788</v>
      </c>
      <c r="B133" s="4" t="s">
        <v>3940</v>
      </c>
      <c r="C133" s="4" t="s">
        <v>3923</v>
      </c>
      <c r="D133" s="4" t="s">
        <v>3924</v>
      </c>
      <c r="E133" s="7" t="n">
        <v>1</v>
      </c>
    </row>
    <row r="134" customFormat="false" ht="15" hidden="false" customHeight="false" outlineLevel="0" collapsed="false">
      <c r="A134" s="4" t="s">
        <v>795</v>
      </c>
      <c r="B134" s="4" t="s">
        <v>3922</v>
      </c>
      <c r="C134" s="4" t="s">
        <v>3923</v>
      </c>
      <c r="D134" s="4" t="s">
        <v>3926</v>
      </c>
      <c r="E134" s="7" t="n">
        <v>3</v>
      </c>
    </row>
    <row r="135" customFormat="false" ht="15" hidden="false" customHeight="false" outlineLevel="0" collapsed="false">
      <c r="A135" s="4" t="s">
        <v>795</v>
      </c>
      <c r="B135" s="4" t="s">
        <v>3925</v>
      </c>
      <c r="C135" s="4" t="s">
        <v>3923</v>
      </c>
      <c r="D135" s="4" t="s">
        <v>3926</v>
      </c>
      <c r="E135" s="7" t="n">
        <v>3</v>
      </c>
    </row>
    <row r="136" customFormat="false" ht="15" hidden="false" customHeight="false" outlineLevel="0" collapsed="false">
      <c r="A136" s="4" t="s">
        <v>803</v>
      </c>
      <c r="B136" s="4" t="s">
        <v>3941</v>
      </c>
      <c r="C136" s="4" t="s">
        <v>3923</v>
      </c>
      <c r="D136" s="4" t="s">
        <v>3926</v>
      </c>
      <c r="E136" s="7" t="n">
        <v>2</v>
      </c>
    </row>
    <row r="137" customFormat="false" ht="15" hidden="false" customHeight="false" outlineLevel="0" collapsed="false">
      <c r="A137" s="4" t="s">
        <v>803</v>
      </c>
      <c r="B137" s="4" t="s">
        <v>3940</v>
      </c>
      <c r="C137" s="4" t="s">
        <v>3923</v>
      </c>
      <c r="D137" s="4" t="s">
        <v>3935</v>
      </c>
      <c r="E137" s="7" t="n">
        <v>2</v>
      </c>
    </row>
    <row r="138" customFormat="false" ht="15" hidden="false" customHeight="false" outlineLevel="0" collapsed="false">
      <c r="A138" s="4" t="s">
        <v>811</v>
      </c>
      <c r="B138" s="4" t="s">
        <v>3925</v>
      </c>
      <c r="C138" s="4" t="s">
        <v>3923</v>
      </c>
      <c r="D138" s="4" t="s">
        <v>3928</v>
      </c>
      <c r="E138" s="7" t="n">
        <v>4</v>
      </c>
    </row>
    <row r="139" customFormat="false" ht="15" hidden="false" customHeight="false" outlineLevel="0" collapsed="false">
      <c r="A139" s="4" t="s">
        <v>811</v>
      </c>
      <c r="B139" s="4" t="s">
        <v>3943</v>
      </c>
      <c r="C139" s="4" t="s">
        <v>3923</v>
      </c>
      <c r="D139" s="4" t="s">
        <v>3935</v>
      </c>
      <c r="E139" s="7" t="n">
        <v>4</v>
      </c>
    </row>
    <row r="140" customFormat="false" ht="15" hidden="false" customHeight="false" outlineLevel="0" collapsed="false">
      <c r="A140" s="4" t="s">
        <v>819</v>
      </c>
      <c r="B140" s="4" t="s">
        <v>3927</v>
      </c>
      <c r="C140" s="4" t="s">
        <v>3923</v>
      </c>
      <c r="D140" s="4" t="s">
        <v>3926</v>
      </c>
      <c r="E140" s="7" t="n">
        <v>4</v>
      </c>
    </row>
    <row r="141" customFormat="false" ht="15" hidden="false" customHeight="false" outlineLevel="0" collapsed="false">
      <c r="A141" s="4" t="s">
        <v>819</v>
      </c>
      <c r="B141" s="4" t="s">
        <v>3945</v>
      </c>
      <c r="C141" s="4" t="s">
        <v>3923</v>
      </c>
      <c r="D141" s="4" t="s">
        <v>3926</v>
      </c>
      <c r="E141" s="7" t="n">
        <v>2</v>
      </c>
    </row>
    <row r="142" customFormat="false" ht="15" hidden="false" customHeight="false" outlineLevel="0" collapsed="false">
      <c r="A142" s="4" t="s">
        <v>819</v>
      </c>
      <c r="B142" s="4" t="s">
        <v>3942</v>
      </c>
      <c r="C142" s="4" t="s">
        <v>3923</v>
      </c>
      <c r="D142" s="4" t="s">
        <v>3924</v>
      </c>
      <c r="E142" s="7" t="n">
        <v>4</v>
      </c>
    </row>
    <row r="143" customFormat="false" ht="15" hidden="false" customHeight="false" outlineLevel="0" collapsed="false">
      <c r="A143" s="4" t="s">
        <v>827</v>
      </c>
      <c r="B143" s="4" t="s">
        <v>3925</v>
      </c>
      <c r="C143" s="4" t="s">
        <v>3923</v>
      </c>
      <c r="D143" s="4" t="s">
        <v>3937</v>
      </c>
      <c r="E143" s="7" t="n">
        <v>3</v>
      </c>
    </row>
    <row r="144" customFormat="false" ht="15" hidden="false" customHeight="false" outlineLevel="0" collapsed="false">
      <c r="A144" s="4" t="s">
        <v>827</v>
      </c>
      <c r="B144" s="4" t="s">
        <v>3936</v>
      </c>
      <c r="C144" s="4" t="s">
        <v>3923</v>
      </c>
      <c r="D144" s="4" t="s">
        <v>3935</v>
      </c>
      <c r="E144" s="7" t="n">
        <v>1</v>
      </c>
    </row>
    <row r="145" customFormat="false" ht="15" hidden="false" customHeight="false" outlineLevel="0" collapsed="false">
      <c r="A145" s="4" t="s">
        <v>827</v>
      </c>
      <c r="B145" s="4" t="s">
        <v>3939</v>
      </c>
      <c r="C145" s="4" t="s">
        <v>3923</v>
      </c>
      <c r="D145" s="4" t="s">
        <v>3926</v>
      </c>
      <c r="E145" s="7" t="n">
        <v>2</v>
      </c>
    </row>
    <row r="146" customFormat="false" ht="15" hidden="false" customHeight="false" outlineLevel="0" collapsed="false">
      <c r="A146" s="4" t="s">
        <v>835</v>
      </c>
      <c r="B146" s="4" t="s">
        <v>3925</v>
      </c>
      <c r="C146" s="4" t="s">
        <v>3923</v>
      </c>
      <c r="D146" s="4" t="s">
        <v>3933</v>
      </c>
      <c r="E146" s="7" t="n">
        <v>4</v>
      </c>
    </row>
    <row r="147" customFormat="false" ht="15" hidden="false" customHeight="false" outlineLevel="0" collapsed="false">
      <c r="A147" s="4" t="s">
        <v>851</v>
      </c>
      <c r="B147" s="4" t="s">
        <v>3944</v>
      </c>
      <c r="C147" s="4" t="s">
        <v>3923</v>
      </c>
      <c r="D147" s="4" t="s">
        <v>3926</v>
      </c>
      <c r="E147" s="7" t="n">
        <v>2</v>
      </c>
    </row>
    <row r="148" customFormat="false" ht="15" hidden="false" customHeight="false" outlineLevel="0" collapsed="false">
      <c r="A148" s="4" t="s">
        <v>859</v>
      </c>
      <c r="B148" s="4" t="s">
        <v>3929</v>
      </c>
      <c r="C148" s="4" t="s">
        <v>3923</v>
      </c>
      <c r="D148" s="4" t="s">
        <v>3926</v>
      </c>
      <c r="E148" s="7" t="n">
        <v>2</v>
      </c>
    </row>
    <row r="149" customFormat="false" ht="15" hidden="false" customHeight="false" outlineLevel="0" collapsed="false">
      <c r="A149" s="4" t="s">
        <v>866</v>
      </c>
      <c r="B149" s="4" t="s">
        <v>3944</v>
      </c>
      <c r="C149" s="4" t="s">
        <v>3923</v>
      </c>
      <c r="D149" s="4" t="s">
        <v>3926</v>
      </c>
      <c r="E149" s="7" t="n">
        <v>4</v>
      </c>
    </row>
    <row r="150" customFormat="false" ht="15" hidden="false" customHeight="false" outlineLevel="0" collapsed="false">
      <c r="A150" s="4" t="s">
        <v>866</v>
      </c>
      <c r="B150" s="4" t="s">
        <v>3934</v>
      </c>
      <c r="C150" s="4" t="s">
        <v>3923</v>
      </c>
      <c r="D150" s="4" t="s">
        <v>3937</v>
      </c>
      <c r="E150" s="7" t="n">
        <v>3</v>
      </c>
    </row>
    <row r="151" customFormat="false" ht="15" hidden="false" customHeight="false" outlineLevel="0" collapsed="false">
      <c r="A151" s="4" t="s">
        <v>866</v>
      </c>
      <c r="B151" s="4" t="s">
        <v>3941</v>
      </c>
      <c r="C151" s="4" t="s">
        <v>3923</v>
      </c>
      <c r="D151" s="4" t="s">
        <v>3935</v>
      </c>
      <c r="E151" s="7" t="n">
        <v>2</v>
      </c>
    </row>
    <row r="152" customFormat="false" ht="15" hidden="false" customHeight="false" outlineLevel="0" collapsed="false">
      <c r="A152" s="4" t="s">
        <v>874</v>
      </c>
      <c r="B152" s="4" t="s">
        <v>3940</v>
      </c>
      <c r="C152" s="4" t="s">
        <v>3923</v>
      </c>
      <c r="D152" s="4" t="s">
        <v>3937</v>
      </c>
      <c r="E152" s="7" t="n">
        <v>3</v>
      </c>
    </row>
    <row r="153" customFormat="false" ht="15" hidden="false" customHeight="false" outlineLevel="0" collapsed="false">
      <c r="A153" s="4" t="s">
        <v>874</v>
      </c>
      <c r="B153" s="4" t="s">
        <v>3929</v>
      </c>
      <c r="C153" s="4" t="s">
        <v>3923</v>
      </c>
      <c r="D153" s="4" t="s">
        <v>3926</v>
      </c>
      <c r="E153" s="7" t="n">
        <v>4</v>
      </c>
    </row>
    <row r="154" customFormat="false" ht="15" hidden="false" customHeight="false" outlineLevel="0" collapsed="false">
      <c r="A154" s="4" t="s">
        <v>882</v>
      </c>
      <c r="B154" s="4" t="s">
        <v>3940</v>
      </c>
      <c r="C154" s="4" t="s">
        <v>3923</v>
      </c>
      <c r="D154" s="4" t="s">
        <v>3935</v>
      </c>
      <c r="E154" s="7" t="n">
        <v>2</v>
      </c>
    </row>
    <row r="155" customFormat="false" ht="15" hidden="false" customHeight="false" outlineLevel="0" collapsed="false">
      <c r="A155" s="4" t="s">
        <v>890</v>
      </c>
      <c r="B155" s="4" t="s">
        <v>3925</v>
      </c>
      <c r="C155" s="4" t="s">
        <v>3923</v>
      </c>
      <c r="D155" s="4" t="s">
        <v>3935</v>
      </c>
      <c r="E155" s="7" t="n">
        <v>2</v>
      </c>
    </row>
    <row r="156" customFormat="false" ht="15" hidden="false" customHeight="false" outlineLevel="0" collapsed="false">
      <c r="A156" s="4" t="s">
        <v>898</v>
      </c>
      <c r="B156" s="4" t="s">
        <v>3939</v>
      </c>
      <c r="C156" s="4" t="s">
        <v>3923</v>
      </c>
      <c r="D156" s="4" t="s">
        <v>3924</v>
      </c>
      <c r="E156" s="7" t="n">
        <v>3</v>
      </c>
    </row>
    <row r="157" customFormat="false" ht="15" hidden="false" customHeight="false" outlineLevel="0" collapsed="false">
      <c r="A157" s="4" t="s">
        <v>898</v>
      </c>
      <c r="B157" s="4" t="s">
        <v>3941</v>
      </c>
      <c r="C157" s="4" t="s">
        <v>3923</v>
      </c>
      <c r="D157" s="4" t="s">
        <v>3935</v>
      </c>
      <c r="E157" s="7" t="n">
        <v>2</v>
      </c>
    </row>
    <row r="158" customFormat="false" ht="15" hidden="false" customHeight="false" outlineLevel="0" collapsed="false">
      <c r="A158" s="4" t="s">
        <v>906</v>
      </c>
      <c r="B158" s="4" t="s">
        <v>3945</v>
      </c>
      <c r="C158" s="4" t="s">
        <v>3923</v>
      </c>
      <c r="D158" s="4" t="s">
        <v>3926</v>
      </c>
      <c r="E158" s="7" t="n">
        <v>2</v>
      </c>
    </row>
    <row r="159" customFormat="false" ht="15" hidden="false" customHeight="false" outlineLevel="0" collapsed="false">
      <c r="A159" s="4" t="s">
        <v>906</v>
      </c>
      <c r="B159" s="4" t="s">
        <v>3942</v>
      </c>
      <c r="C159" s="4" t="s">
        <v>3923</v>
      </c>
      <c r="D159" s="4" t="s">
        <v>3926</v>
      </c>
      <c r="E159" s="7" t="n">
        <v>3</v>
      </c>
    </row>
    <row r="160" customFormat="false" ht="15" hidden="false" customHeight="false" outlineLevel="0" collapsed="false">
      <c r="A160" s="4" t="s">
        <v>906</v>
      </c>
      <c r="B160" s="4" t="s">
        <v>3932</v>
      </c>
      <c r="C160" s="4" t="s">
        <v>3923</v>
      </c>
      <c r="D160" s="4" t="s">
        <v>3935</v>
      </c>
      <c r="E160" s="7" t="n">
        <v>2</v>
      </c>
    </row>
    <row r="161" customFormat="false" ht="15" hidden="false" customHeight="false" outlineLevel="0" collapsed="false">
      <c r="A161" s="4" t="s">
        <v>922</v>
      </c>
      <c r="B161" s="4" t="s">
        <v>3943</v>
      </c>
      <c r="C161" s="4" t="s">
        <v>3923</v>
      </c>
      <c r="D161" s="4" t="s">
        <v>3926</v>
      </c>
      <c r="E161" s="7" t="n">
        <v>3</v>
      </c>
    </row>
    <row r="162" customFormat="false" ht="15" hidden="false" customHeight="false" outlineLevel="0" collapsed="false">
      <c r="A162" s="4" t="s">
        <v>929</v>
      </c>
      <c r="B162" s="4" t="s">
        <v>3925</v>
      </c>
      <c r="C162" s="4" t="s">
        <v>3923</v>
      </c>
      <c r="D162" s="4" t="s">
        <v>3926</v>
      </c>
      <c r="E162" s="7" t="n">
        <v>4</v>
      </c>
    </row>
    <row r="163" customFormat="false" ht="15" hidden="false" customHeight="false" outlineLevel="0" collapsed="false">
      <c r="A163" s="4" t="s">
        <v>952</v>
      </c>
      <c r="B163" s="4" t="s">
        <v>3940</v>
      </c>
      <c r="C163" s="4" t="s">
        <v>3923</v>
      </c>
      <c r="D163" s="4" t="s">
        <v>3935</v>
      </c>
      <c r="E163" s="7" t="n">
        <v>3</v>
      </c>
    </row>
    <row r="164" customFormat="false" ht="15" hidden="false" customHeight="false" outlineLevel="0" collapsed="false">
      <c r="A164" s="4" t="s">
        <v>952</v>
      </c>
      <c r="B164" s="4" t="s">
        <v>3946</v>
      </c>
      <c r="C164" s="4" t="s">
        <v>3923</v>
      </c>
      <c r="D164" s="4" t="s">
        <v>3924</v>
      </c>
      <c r="E164" s="7" t="n">
        <v>3</v>
      </c>
    </row>
    <row r="165" customFormat="false" ht="15" hidden="false" customHeight="false" outlineLevel="0" collapsed="false">
      <c r="A165" s="4" t="s">
        <v>959</v>
      </c>
      <c r="B165" s="4" t="s">
        <v>3927</v>
      </c>
      <c r="C165" s="4" t="s">
        <v>3923</v>
      </c>
      <c r="D165" s="4" t="s">
        <v>3926</v>
      </c>
      <c r="E165" s="7" t="n">
        <v>3</v>
      </c>
    </row>
    <row r="166" customFormat="false" ht="15" hidden="false" customHeight="false" outlineLevel="0" collapsed="false">
      <c r="A166" s="4" t="s">
        <v>959</v>
      </c>
      <c r="B166" s="4" t="s">
        <v>3930</v>
      </c>
      <c r="C166" s="4" t="s">
        <v>3923</v>
      </c>
      <c r="D166" s="4" t="s">
        <v>3935</v>
      </c>
      <c r="E166" s="7" t="n">
        <v>2</v>
      </c>
    </row>
    <row r="167" customFormat="false" ht="15" hidden="false" customHeight="false" outlineLevel="0" collapsed="false">
      <c r="A167" s="4" t="s">
        <v>959</v>
      </c>
      <c r="B167" s="4" t="s">
        <v>3936</v>
      </c>
      <c r="C167" s="4" t="s">
        <v>3923</v>
      </c>
      <c r="D167" s="4" t="s">
        <v>3926</v>
      </c>
      <c r="E167" s="7" t="n">
        <v>2</v>
      </c>
    </row>
    <row r="168" customFormat="false" ht="15" hidden="false" customHeight="false" outlineLevel="0" collapsed="false">
      <c r="A168" s="4" t="s">
        <v>967</v>
      </c>
      <c r="B168" s="4" t="s">
        <v>3943</v>
      </c>
      <c r="C168" s="4" t="s">
        <v>3923</v>
      </c>
      <c r="D168" s="4" t="s">
        <v>3926</v>
      </c>
      <c r="E168" s="7" t="n">
        <v>2</v>
      </c>
    </row>
    <row r="169" customFormat="false" ht="15" hidden="false" customHeight="false" outlineLevel="0" collapsed="false">
      <c r="A169" s="4" t="s">
        <v>967</v>
      </c>
      <c r="B169" s="4" t="s">
        <v>3941</v>
      </c>
      <c r="C169" s="4" t="s">
        <v>3923</v>
      </c>
      <c r="D169" s="4" t="s">
        <v>3924</v>
      </c>
      <c r="E169" s="7" t="n">
        <v>1</v>
      </c>
    </row>
    <row r="170" customFormat="false" ht="15" hidden="false" customHeight="false" outlineLevel="0" collapsed="false">
      <c r="A170" s="4" t="s">
        <v>975</v>
      </c>
      <c r="B170" s="4" t="s">
        <v>3925</v>
      </c>
      <c r="C170" s="4" t="s">
        <v>3923</v>
      </c>
      <c r="D170" s="4" t="s">
        <v>3926</v>
      </c>
      <c r="E170" s="7" t="n">
        <v>2</v>
      </c>
    </row>
    <row r="171" customFormat="false" ht="15" hidden="false" customHeight="false" outlineLevel="0" collapsed="false">
      <c r="A171" s="4" t="s">
        <v>975</v>
      </c>
      <c r="B171" s="4" t="s">
        <v>3940</v>
      </c>
      <c r="C171" s="4" t="s">
        <v>3923</v>
      </c>
      <c r="D171" s="4" t="s">
        <v>3937</v>
      </c>
      <c r="E171" s="7" t="n">
        <v>4</v>
      </c>
    </row>
    <row r="172" customFormat="false" ht="15" hidden="false" customHeight="false" outlineLevel="0" collapsed="false">
      <c r="A172" s="4" t="s">
        <v>983</v>
      </c>
      <c r="B172" s="4" t="s">
        <v>3929</v>
      </c>
      <c r="C172" s="4" t="s">
        <v>3923</v>
      </c>
      <c r="D172" s="4" t="s">
        <v>3928</v>
      </c>
      <c r="E172" s="7" t="n">
        <v>3</v>
      </c>
    </row>
    <row r="173" customFormat="false" ht="15" hidden="false" customHeight="false" outlineLevel="0" collapsed="false">
      <c r="A173" s="4" t="s">
        <v>983</v>
      </c>
      <c r="B173" s="4" t="s">
        <v>3939</v>
      </c>
      <c r="C173" s="4" t="s">
        <v>3923</v>
      </c>
      <c r="D173" s="4" t="s">
        <v>3926</v>
      </c>
      <c r="E173" s="7" t="n">
        <v>1</v>
      </c>
    </row>
    <row r="174" customFormat="false" ht="15" hidden="false" customHeight="false" outlineLevel="0" collapsed="false">
      <c r="A174" s="4" t="s">
        <v>983</v>
      </c>
      <c r="B174" s="4" t="s">
        <v>3940</v>
      </c>
      <c r="C174" s="4" t="s">
        <v>3923</v>
      </c>
      <c r="D174" s="4" t="s">
        <v>3926</v>
      </c>
      <c r="E174" s="7" t="n">
        <v>3</v>
      </c>
    </row>
    <row r="175" customFormat="false" ht="15" hidden="false" customHeight="false" outlineLevel="0" collapsed="false">
      <c r="A175" s="4" t="s">
        <v>990</v>
      </c>
      <c r="B175" s="4" t="s">
        <v>3943</v>
      </c>
      <c r="C175" s="4" t="s">
        <v>3923</v>
      </c>
      <c r="D175" s="4" t="s">
        <v>3926</v>
      </c>
      <c r="E175" s="7" t="n">
        <v>2</v>
      </c>
    </row>
    <row r="176" customFormat="false" ht="15" hidden="false" customHeight="false" outlineLevel="0" collapsed="false">
      <c r="A176" s="4" t="s">
        <v>998</v>
      </c>
      <c r="B176" s="4" t="s">
        <v>3922</v>
      </c>
      <c r="C176" s="4" t="s">
        <v>3923</v>
      </c>
      <c r="D176" s="4" t="s">
        <v>3924</v>
      </c>
      <c r="E176" s="7" t="n">
        <v>3</v>
      </c>
    </row>
    <row r="177" customFormat="false" ht="15" hidden="false" customHeight="false" outlineLevel="0" collapsed="false">
      <c r="A177" s="4" t="s">
        <v>1006</v>
      </c>
      <c r="B177" s="4" t="s">
        <v>3941</v>
      </c>
      <c r="C177" s="4" t="s">
        <v>3923</v>
      </c>
      <c r="D177" s="4" t="s">
        <v>3926</v>
      </c>
      <c r="E177" s="7" t="n">
        <v>3</v>
      </c>
    </row>
    <row r="178" customFormat="false" ht="15" hidden="false" customHeight="false" outlineLevel="0" collapsed="false">
      <c r="A178" s="4" t="s">
        <v>1022</v>
      </c>
      <c r="B178" s="4" t="s">
        <v>3934</v>
      </c>
      <c r="C178" s="4" t="s">
        <v>3923</v>
      </c>
      <c r="D178" s="4" t="s">
        <v>3926</v>
      </c>
      <c r="E178" s="7" t="n">
        <v>1</v>
      </c>
    </row>
    <row r="179" customFormat="false" ht="15" hidden="false" customHeight="false" outlineLevel="0" collapsed="false">
      <c r="A179" s="4" t="s">
        <v>1022</v>
      </c>
      <c r="B179" s="4" t="s">
        <v>3945</v>
      </c>
      <c r="C179" s="4" t="s">
        <v>3923</v>
      </c>
      <c r="D179" s="4" t="s">
        <v>3926</v>
      </c>
      <c r="E179" s="7" t="n">
        <v>1</v>
      </c>
    </row>
    <row r="180" customFormat="false" ht="15" hidden="false" customHeight="false" outlineLevel="0" collapsed="false">
      <c r="A180" s="4" t="s">
        <v>1030</v>
      </c>
      <c r="B180" s="4" t="s">
        <v>3929</v>
      </c>
      <c r="C180" s="4" t="s">
        <v>3923</v>
      </c>
      <c r="D180" s="4" t="s">
        <v>3926</v>
      </c>
      <c r="E180" s="7" t="n">
        <v>4</v>
      </c>
    </row>
    <row r="181" customFormat="false" ht="15" hidden="false" customHeight="false" outlineLevel="0" collapsed="false">
      <c r="A181" s="4" t="s">
        <v>1030</v>
      </c>
      <c r="B181" s="4" t="s">
        <v>3931</v>
      </c>
      <c r="C181" s="4" t="s">
        <v>3923</v>
      </c>
      <c r="D181" s="4" t="s">
        <v>3926</v>
      </c>
      <c r="E181" s="7" t="n">
        <v>3</v>
      </c>
    </row>
    <row r="182" customFormat="false" ht="15" hidden="false" customHeight="false" outlineLevel="0" collapsed="false">
      <c r="A182" s="4" t="s">
        <v>1038</v>
      </c>
      <c r="B182" s="4" t="s">
        <v>3922</v>
      </c>
      <c r="C182" s="4" t="s">
        <v>3923</v>
      </c>
      <c r="D182" s="4" t="s">
        <v>3926</v>
      </c>
      <c r="E182" s="7" t="n">
        <v>1</v>
      </c>
    </row>
    <row r="183" customFormat="false" ht="15" hidden="false" customHeight="false" outlineLevel="0" collapsed="false">
      <c r="A183" s="4" t="s">
        <v>1038</v>
      </c>
      <c r="B183" s="4" t="s">
        <v>3934</v>
      </c>
      <c r="C183" s="4" t="s">
        <v>3923</v>
      </c>
      <c r="D183" s="4" t="s">
        <v>3926</v>
      </c>
      <c r="E183" s="7" t="n">
        <v>2</v>
      </c>
    </row>
    <row r="184" customFormat="false" ht="15" hidden="false" customHeight="false" outlineLevel="0" collapsed="false">
      <c r="A184" s="4" t="s">
        <v>1038</v>
      </c>
      <c r="B184" s="4" t="s">
        <v>3944</v>
      </c>
      <c r="C184" s="4" t="s">
        <v>3923</v>
      </c>
      <c r="D184" s="4" t="s">
        <v>3937</v>
      </c>
      <c r="E184" s="7" t="n">
        <v>4</v>
      </c>
    </row>
    <row r="185" customFormat="false" ht="15" hidden="false" customHeight="false" outlineLevel="0" collapsed="false">
      <c r="A185" s="4" t="s">
        <v>1054</v>
      </c>
      <c r="B185" s="4" t="s">
        <v>3944</v>
      </c>
      <c r="C185" s="4" t="s">
        <v>3923</v>
      </c>
      <c r="D185" s="4" t="s">
        <v>3926</v>
      </c>
      <c r="E185" s="7" t="n">
        <v>4</v>
      </c>
    </row>
    <row r="186" customFormat="false" ht="15" hidden="false" customHeight="false" outlineLevel="0" collapsed="false">
      <c r="A186" s="4" t="s">
        <v>1062</v>
      </c>
      <c r="B186" s="4" t="s">
        <v>3932</v>
      </c>
      <c r="C186" s="4" t="s">
        <v>3923</v>
      </c>
      <c r="D186" s="4" t="s">
        <v>3928</v>
      </c>
      <c r="E186" s="7" t="n">
        <v>1</v>
      </c>
    </row>
    <row r="187" customFormat="false" ht="15" hidden="false" customHeight="false" outlineLevel="0" collapsed="false">
      <c r="A187" s="4" t="s">
        <v>1062</v>
      </c>
      <c r="B187" s="4" t="s">
        <v>3940</v>
      </c>
      <c r="C187" s="4" t="s">
        <v>3923</v>
      </c>
      <c r="D187" s="4" t="s">
        <v>3926</v>
      </c>
      <c r="E187" s="7" t="n">
        <v>4</v>
      </c>
    </row>
    <row r="188" customFormat="false" ht="15" hidden="false" customHeight="false" outlineLevel="0" collapsed="false">
      <c r="A188" s="4" t="s">
        <v>1070</v>
      </c>
      <c r="B188" s="4" t="s">
        <v>3945</v>
      </c>
      <c r="C188" s="4" t="s">
        <v>3923</v>
      </c>
      <c r="D188" s="4" t="s">
        <v>3924</v>
      </c>
      <c r="E188" s="7" t="n">
        <v>2</v>
      </c>
    </row>
    <row r="189" customFormat="false" ht="15" hidden="false" customHeight="false" outlineLevel="0" collapsed="false">
      <c r="A189" s="4" t="s">
        <v>1070</v>
      </c>
      <c r="B189" s="4" t="s">
        <v>3939</v>
      </c>
      <c r="C189" s="4" t="s">
        <v>3923</v>
      </c>
      <c r="D189" s="4" t="s">
        <v>3926</v>
      </c>
      <c r="E189" s="7" t="n">
        <v>4</v>
      </c>
    </row>
    <row r="190" customFormat="false" ht="15" hidden="false" customHeight="false" outlineLevel="0" collapsed="false">
      <c r="A190" s="4" t="s">
        <v>1078</v>
      </c>
      <c r="B190" s="4" t="s">
        <v>3929</v>
      </c>
      <c r="C190" s="4" t="s">
        <v>3923</v>
      </c>
      <c r="D190" s="4" t="s">
        <v>3926</v>
      </c>
      <c r="E190" s="7" t="n">
        <v>3</v>
      </c>
    </row>
    <row r="191" customFormat="false" ht="15" hidden="false" customHeight="false" outlineLevel="0" collapsed="false">
      <c r="A191" s="4" t="s">
        <v>1078</v>
      </c>
      <c r="B191" s="4" t="s">
        <v>3940</v>
      </c>
      <c r="C191" s="4" t="s">
        <v>3923</v>
      </c>
      <c r="D191" s="4" t="s">
        <v>3926</v>
      </c>
      <c r="E191" s="7" t="n">
        <v>3</v>
      </c>
    </row>
    <row r="192" customFormat="false" ht="15" hidden="false" customHeight="false" outlineLevel="0" collapsed="false">
      <c r="A192" s="4" t="s">
        <v>1078</v>
      </c>
      <c r="B192" s="4" t="s">
        <v>3934</v>
      </c>
      <c r="C192" s="4" t="s">
        <v>3923</v>
      </c>
      <c r="D192" s="4" t="s">
        <v>3924</v>
      </c>
      <c r="E192" s="7" t="n">
        <v>2</v>
      </c>
    </row>
    <row r="193" customFormat="false" ht="15" hidden="false" customHeight="false" outlineLevel="0" collapsed="false">
      <c r="A193" s="4" t="s">
        <v>1086</v>
      </c>
      <c r="B193" s="4" t="s">
        <v>3929</v>
      </c>
      <c r="C193" s="4" t="s">
        <v>3923</v>
      </c>
      <c r="D193" s="4" t="s">
        <v>3926</v>
      </c>
      <c r="E193" s="7" t="n">
        <v>4</v>
      </c>
    </row>
    <row r="194" customFormat="false" ht="15" hidden="false" customHeight="false" outlineLevel="0" collapsed="false">
      <c r="A194" s="4" t="s">
        <v>1094</v>
      </c>
      <c r="B194" s="4" t="s">
        <v>3936</v>
      </c>
      <c r="C194" s="4" t="s">
        <v>3923</v>
      </c>
      <c r="D194" s="4" t="s">
        <v>3926</v>
      </c>
      <c r="E194" s="7" t="n">
        <v>3</v>
      </c>
    </row>
    <row r="195" customFormat="false" ht="15" hidden="false" customHeight="false" outlineLevel="0" collapsed="false">
      <c r="A195" s="4" t="s">
        <v>1094</v>
      </c>
      <c r="B195" s="4" t="s">
        <v>3946</v>
      </c>
      <c r="C195" s="4" t="s">
        <v>3923</v>
      </c>
      <c r="D195" s="4" t="s">
        <v>3933</v>
      </c>
      <c r="E195" s="7" t="n">
        <v>1</v>
      </c>
    </row>
    <row r="196" customFormat="false" ht="15" hidden="false" customHeight="false" outlineLevel="0" collapsed="false">
      <c r="A196" s="4" t="s">
        <v>1094</v>
      </c>
      <c r="B196" s="4" t="s">
        <v>3945</v>
      </c>
      <c r="C196" s="4" t="s">
        <v>3923</v>
      </c>
      <c r="D196" s="4" t="s">
        <v>3926</v>
      </c>
      <c r="E196" s="7" t="n">
        <v>3</v>
      </c>
    </row>
    <row r="197" customFormat="false" ht="15" hidden="false" customHeight="false" outlineLevel="0" collapsed="false">
      <c r="A197" s="4" t="s">
        <v>1102</v>
      </c>
      <c r="B197" s="4" t="s">
        <v>3936</v>
      </c>
      <c r="C197" s="4" t="s">
        <v>3923</v>
      </c>
      <c r="D197" s="4" t="s">
        <v>3933</v>
      </c>
      <c r="E197" s="7" t="n">
        <v>2</v>
      </c>
    </row>
    <row r="198" customFormat="false" ht="15" hidden="false" customHeight="false" outlineLevel="0" collapsed="false">
      <c r="A198" s="4" t="s">
        <v>1110</v>
      </c>
      <c r="B198" s="4" t="s">
        <v>3943</v>
      </c>
      <c r="C198" s="4" t="s">
        <v>3923</v>
      </c>
      <c r="D198" s="4" t="s">
        <v>3924</v>
      </c>
      <c r="E198" s="7" t="n">
        <v>4</v>
      </c>
    </row>
    <row r="199" customFormat="false" ht="15" hidden="false" customHeight="false" outlineLevel="0" collapsed="false">
      <c r="A199" s="4" t="s">
        <v>1118</v>
      </c>
      <c r="B199" s="4" t="s">
        <v>3925</v>
      </c>
      <c r="C199" s="4" t="s">
        <v>3923</v>
      </c>
      <c r="D199" s="4" t="s">
        <v>3933</v>
      </c>
      <c r="E199" s="7" t="n">
        <v>2</v>
      </c>
    </row>
    <row r="200" customFormat="false" ht="15" hidden="false" customHeight="false" outlineLevel="0" collapsed="false">
      <c r="A200" s="4" t="s">
        <v>1126</v>
      </c>
      <c r="B200" s="4" t="s">
        <v>3936</v>
      </c>
      <c r="C200" s="4" t="s">
        <v>3923</v>
      </c>
      <c r="D200" s="4" t="s">
        <v>3926</v>
      </c>
      <c r="E200" s="7" t="n">
        <v>3</v>
      </c>
    </row>
    <row r="201" customFormat="false" ht="15" hidden="false" customHeight="false" outlineLevel="0" collapsed="false">
      <c r="A201" s="4" t="s">
        <v>1134</v>
      </c>
      <c r="B201" s="4" t="s">
        <v>3927</v>
      </c>
      <c r="C201" s="4" t="s">
        <v>3923</v>
      </c>
      <c r="D201" s="4" t="s">
        <v>3926</v>
      </c>
      <c r="E201" s="7" t="n">
        <v>4</v>
      </c>
    </row>
    <row r="202" customFormat="false" ht="15" hidden="false" customHeight="false" outlineLevel="0" collapsed="false">
      <c r="A202" s="4" t="s">
        <v>1134</v>
      </c>
      <c r="B202" s="4" t="s">
        <v>3929</v>
      </c>
      <c r="C202" s="4" t="s">
        <v>3923</v>
      </c>
      <c r="D202" s="4" t="s">
        <v>3937</v>
      </c>
      <c r="E202" s="7" t="n">
        <v>1</v>
      </c>
    </row>
    <row r="203" customFormat="false" ht="15" hidden="false" customHeight="false" outlineLevel="0" collapsed="false">
      <c r="A203" s="4" t="s">
        <v>1149</v>
      </c>
      <c r="B203" s="4" t="s">
        <v>3941</v>
      </c>
      <c r="C203" s="4" t="s">
        <v>3923</v>
      </c>
      <c r="D203" s="4" t="s">
        <v>3926</v>
      </c>
      <c r="E203" s="7" t="n">
        <v>4</v>
      </c>
    </row>
    <row r="204" customFormat="false" ht="15" hidden="false" customHeight="false" outlineLevel="0" collapsed="false">
      <c r="A204" s="4" t="s">
        <v>1165</v>
      </c>
      <c r="B204" s="4" t="s">
        <v>3946</v>
      </c>
      <c r="C204" s="4" t="s">
        <v>3923</v>
      </c>
      <c r="D204" s="4" t="s">
        <v>3926</v>
      </c>
      <c r="E204" s="7" t="n">
        <v>4</v>
      </c>
    </row>
    <row r="205" customFormat="false" ht="15" hidden="false" customHeight="false" outlineLevel="0" collapsed="false">
      <c r="A205" s="4" t="s">
        <v>1173</v>
      </c>
      <c r="B205" s="4" t="s">
        <v>3939</v>
      </c>
      <c r="C205" s="4" t="s">
        <v>3923</v>
      </c>
      <c r="D205" s="4" t="s">
        <v>3926</v>
      </c>
      <c r="E205" s="7" t="n">
        <v>4</v>
      </c>
    </row>
    <row r="206" customFormat="false" ht="15" hidden="false" customHeight="false" outlineLevel="0" collapsed="false">
      <c r="A206" s="4" t="s">
        <v>1173</v>
      </c>
      <c r="B206" s="4" t="s">
        <v>3934</v>
      </c>
      <c r="C206" s="4" t="s">
        <v>3923</v>
      </c>
      <c r="D206" s="4" t="s">
        <v>3926</v>
      </c>
      <c r="E206" s="7" t="n">
        <v>1</v>
      </c>
    </row>
    <row r="207" customFormat="false" ht="15" hidden="false" customHeight="false" outlineLevel="0" collapsed="false">
      <c r="A207" s="4" t="s">
        <v>1180</v>
      </c>
      <c r="B207" s="4" t="s">
        <v>3944</v>
      </c>
      <c r="C207" s="4" t="s">
        <v>3923</v>
      </c>
      <c r="D207" s="4" t="s">
        <v>3928</v>
      </c>
      <c r="E207" s="7" t="n">
        <v>2</v>
      </c>
    </row>
    <row r="208" customFormat="false" ht="15" hidden="false" customHeight="false" outlineLevel="0" collapsed="false">
      <c r="A208" s="4" t="s">
        <v>1180</v>
      </c>
      <c r="B208" s="4" t="s">
        <v>3946</v>
      </c>
      <c r="C208" s="4" t="s">
        <v>3923</v>
      </c>
      <c r="D208" s="4" t="s">
        <v>3935</v>
      </c>
      <c r="E208" s="7" t="n">
        <v>2</v>
      </c>
    </row>
    <row r="209" customFormat="false" ht="15" hidden="false" customHeight="false" outlineLevel="0" collapsed="false">
      <c r="A209" s="4" t="s">
        <v>1195</v>
      </c>
      <c r="B209" s="4" t="s">
        <v>3945</v>
      </c>
      <c r="C209" s="4" t="s">
        <v>3923</v>
      </c>
      <c r="D209" s="4" t="s">
        <v>3926</v>
      </c>
      <c r="E209" s="7" t="n">
        <v>3</v>
      </c>
    </row>
    <row r="210" customFormat="false" ht="15" hidden="false" customHeight="false" outlineLevel="0" collapsed="false">
      <c r="A210" s="4" t="s">
        <v>1195</v>
      </c>
      <c r="B210" s="4" t="s">
        <v>3942</v>
      </c>
      <c r="C210" s="4" t="s">
        <v>3923</v>
      </c>
      <c r="D210" s="4" t="s">
        <v>3937</v>
      </c>
      <c r="E210" s="7" t="n">
        <v>1</v>
      </c>
    </row>
    <row r="211" customFormat="false" ht="15" hidden="false" customHeight="false" outlineLevel="0" collapsed="false">
      <c r="A211" s="4" t="s">
        <v>1203</v>
      </c>
      <c r="B211" s="4" t="s">
        <v>3946</v>
      </c>
      <c r="C211" s="4" t="s">
        <v>3923</v>
      </c>
      <c r="D211" s="4" t="s">
        <v>3937</v>
      </c>
      <c r="E211" s="7" t="n">
        <v>2</v>
      </c>
    </row>
    <row r="212" customFormat="false" ht="15" hidden="false" customHeight="false" outlineLevel="0" collapsed="false">
      <c r="A212" s="4" t="s">
        <v>1203</v>
      </c>
      <c r="B212" s="4" t="s">
        <v>3943</v>
      </c>
      <c r="C212" s="4" t="s">
        <v>3923</v>
      </c>
      <c r="D212" s="4" t="s">
        <v>3926</v>
      </c>
      <c r="E212" s="7" t="n">
        <v>2</v>
      </c>
    </row>
    <row r="213" customFormat="false" ht="15" hidden="false" customHeight="false" outlineLevel="0" collapsed="false">
      <c r="A213" s="4" t="s">
        <v>1211</v>
      </c>
      <c r="B213" s="4" t="s">
        <v>3938</v>
      </c>
      <c r="C213" s="4" t="s">
        <v>3923</v>
      </c>
      <c r="D213" s="4" t="s">
        <v>3937</v>
      </c>
      <c r="E213" s="7" t="n">
        <v>4</v>
      </c>
    </row>
    <row r="214" customFormat="false" ht="15" hidden="false" customHeight="false" outlineLevel="0" collapsed="false">
      <c r="A214" s="4" t="s">
        <v>1211</v>
      </c>
      <c r="B214" s="4" t="s">
        <v>3943</v>
      </c>
      <c r="C214" s="4" t="s">
        <v>3923</v>
      </c>
      <c r="D214" s="4" t="s">
        <v>3926</v>
      </c>
      <c r="E214" s="7" t="n">
        <v>2</v>
      </c>
    </row>
    <row r="215" customFormat="false" ht="15" hidden="false" customHeight="false" outlineLevel="0" collapsed="false">
      <c r="A215" s="4" t="s">
        <v>1219</v>
      </c>
      <c r="B215" s="4" t="s">
        <v>3922</v>
      </c>
      <c r="C215" s="4" t="s">
        <v>3923</v>
      </c>
      <c r="D215" s="4" t="s">
        <v>3926</v>
      </c>
      <c r="E215" s="7" t="n">
        <v>4</v>
      </c>
    </row>
    <row r="216" customFormat="false" ht="15" hidden="false" customHeight="false" outlineLevel="0" collapsed="false">
      <c r="A216" s="4" t="s">
        <v>1219</v>
      </c>
      <c r="B216" s="4" t="s">
        <v>3939</v>
      </c>
      <c r="C216" s="4" t="s">
        <v>3923</v>
      </c>
      <c r="D216" s="4" t="s">
        <v>3926</v>
      </c>
      <c r="E216" s="7" t="n">
        <v>4</v>
      </c>
    </row>
    <row r="217" customFormat="false" ht="15" hidden="false" customHeight="false" outlineLevel="0" collapsed="false">
      <c r="A217" s="4" t="s">
        <v>1219</v>
      </c>
      <c r="B217" s="4" t="s">
        <v>3945</v>
      </c>
      <c r="C217" s="4" t="s">
        <v>3923</v>
      </c>
      <c r="D217" s="4" t="s">
        <v>3924</v>
      </c>
      <c r="E217" s="7" t="n">
        <v>2</v>
      </c>
    </row>
    <row r="218" customFormat="false" ht="15" hidden="false" customHeight="false" outlineLevel="0" collapsed="false">
      <c r="A218" s="4" t="s">
        <v>1227</v>
      </c>
      <c r="B218" s="4" t="s">
        <v>3922</v>
      </c>
      <c r="C218" s="4" t="s">
        <v>3923</v>
      </c>
      <c r="D218" s="4" t="s">
        <v>3933</v>
      </c>
      <c r="E218" s="7" t="n">
        <v>4</v>
      </c>
    </row>
    <row r="219" customFormat="false" ht="15" hidden="false" customHeight="false" outlineLevel="0" collapsed="false">
      <c r="A219" s="4" t="s">
        <v>1227</v>
      </c>
      <c r="B219" s="4" t="s">
        <v>3943</v>
      </c>
      <c r="C219" s="4" t="s">
        <v>3923</v>
      </c>
      <c r="D219" s="4" t="s">
        <v>3926</v>
      </c>
      <c r="E219" s="7" t="n">
        <v>1</v>
      </c>
    </row>
    <row r="220" customFormat="false" ht="15" hidden="false" customHeight="false" outlineLevel="0" collapsed="false">
      <c r="A220" s="4" t="s">
        <v>1227</v>
      </c>
      <c r="B220" s="4" t="s">
        <v>3941</v>
      </c>
      <c r="C220" s="4" t="s">
        <v>3923</v>
      </c>
      <c r="D220" s="4" t="s">
        <v>3928</v>
      </c>
      <c r="E220" s="7" t="n">
        <v>2</v>
      </c>
    </row>
    <row r="221" customFormat="false" ht="15" hidden="false" customHeight="false" outlineLevel="0" collapsed="false">
      <c r="A221" s="4" t="s">
        <v>1235</v>
      </c>
      <c r="B221" s="4" t="s">
        <v>3942</v>
      </c>
      <c r="C221" s="4" t="s">
        <v>3923</v>
      </c>
      <c r="D221" s="4" t="s">
        <v>3937</v>
      </c>
      <c r="E221" s="7" t="n">
        <v>3</v>
      </c>
    </row>
    <row r="222" customFormat="false" ht="15" hidden="false" customHeight="false" outlineLevel="0" collapsed="false">
      <c r="A222" s="4" t="s">
        <v>1235</v>
      </c>
      <c r="B222" s="4" t="s">
        <v>3932</v>
      </c>
      <c r="C222" s="4" t="s">
        <v>3923</v>
      </c>
      <c r="D222" s="4" t="s">
        <v>3926</v>
      </c>
      <c r="E222" s="7" t="n">
        <v>1</v>
      </c>
    </row>
    <row r="223" customFormat="false" ht="15" hidden="false" customHeight="false" outlineLevel="0" collapsed="false">
      <c r="A223" s="4" t="s">
        <v>1235</v>
      </c>
      <c r="B223" s="4" t="s">
        <v>3922</v>
      </c>
      <c r="C223" s="4" t="s">
        <v>3923</v>
      </c>
      <c r="D223" s="4" t="s">
        <v>3924</v>
      </c>
      <c r="E223" s="7" t="n">
        <v>4</v>
      </c>
    </row>
    <row r="224" customFormat="false" ht="15" hidden="false" customHeight="false" outlineLevel="0" collapsed="false">
      <c r="A224" s="4" t="s">
        <v>1243</v>
      </c>
      <c r="B224" s="4" t="s">
        <v>3931</v>
      </c>
      <c r="C224" s="4" t="s">
        <v>3923</v>
      </c>
      <c r="D224" s="4" t="s">
        <v>3935</v>
      </c>
      <c r="E224" s="7" t="n">
        <v>2</v>
      </c>
    </row>
    <row r="225" customFormat="false" ht="15" hidden="false" customHeight="false" outlineLevel="0" collapsed="false">
      <c r="A225" s="4" t="s">
        <v>1251</v>
      </c>
      <c r="B225" s="4" t="s">
        <v>3946</v>
      </c>
      <c r="C225" s="4" t="s">
        <v>3923</v>
      </c>
      <c r="D225" s="4" t="s">
        <v>3926</v>
      </c>
      <c r="E225" s="7" t="n">
        <v>1</v>
      </c>
    </row>
    <row r="226" customFormat="false" ht="15" hidden="false" customHeight="false" outlineLevel="0" collapsed="false">
      <c r="A226" s="4" t="s">
        <v>1259</v>
      </c>
      <c r="B226" s="4" t="s">
        <v>3939</v>
      </c>
      <c r="C226" s="4" t="s">
        <v>3923</v>
      </c>
      <c r="D226" s="4" t="s">
        <v>3926</v>
      </c>
      <c r="E226" s="7" t="n">
        <v>2</v>
      </c>
    </row>
    <row r="227" customFormat="false" ht="15" hidden="false" customHeight="false" outlineLevel="0" collapsed="false">
      <c r="A227" s="4" t="s">
        <v>1267</v>
      </c>
      <c r="B227" s="4" t="s">
        <v>3943</v>
      </c>
      <c r="C227" s="4" t="s">
        <v>3923</v>
      </c>
      <c r="D227" s="4" t="s">
        <v>3926</v>
      </c>
      <c r="E227" s="7" t="n">
        <v>2</v>
      </c>
    </row>
    <row r="228" customFormat="false" ht="15" hidden="false" customHeight="false" outlineLevel="0" collapsed="false">
      <c r="A228" s="4" t="s">
        <v>1275</v>
      </c>
      <c r="B228" s="4" t="s">
        <v>3941</v>
      </c>
      <c r="C228" s="4" t="s">
        <v>3923</v>
      </c>
      <c r="D228" s="4" t="s">
        <v>3928</v>
      </c>
      <c r="E228" s="7" t="n">
        <v>1</v>
      </c>
    </row>
    <row r="229" customFormat="false" ht="15" hidden="false" customHeight="false" outlineLevel="0" collapsed="false">
      <c r="A229" s="4" t="s">
        <v>1275</v>
      </c>
      <c r="B229" s="4" t="s">
        <v>3922</v>
      </c>
      <c r="C229" s="4" t="s">
        <v>3923</v>
      </c>
      <c r="D229" s="4" t="s">
        <v>3924</v>
      </c>
      <c r="E229" s="7" t="n">
        <v>4</v>
      </c>
    </row>
    <row r="230" customFormat="false" ht="15" hidden="false" customHeight="false" outlineLevel="0" collapsed="false">
      <c r="A230" s="4" t="s">
        <v>1275</v>
      </c>
      <c r="B230" s="4" t="s">
        <v>3945</v>
      </c>
      <c r="C230" s="4" t="s">
        <v>3923</v>
      </c>
      <c r="D230" s="4" t="s">
        <v>3937</v>
      </c>
      <c r="E230" s="7" t="n">
        <v>1</v>
      </c>
    </row>
    <row r="231" customFormat="false" ht="15" hidden="false" customHeight="false" outlineLevel="0" collapsed="false">
      <c r="A231" s="4" t="s">
        <v>1282</v>
      </c>
      <c r="B231" s="4" t="s">
        <v>3941</v>
      </c>
      <c r="C231" s="4" t="s">
        <v>3923</v>
      </c>
      <c r="D231" s="4" t="s">
        <v>3926</v>
      </c>
      <c r="E231" s="7" t="n">
        <v>1</v>
      </c>
    </row>
    <row r="232" customFormat="false" ht="15" hidden="false" customHeight="false" outlineLevel="0" collapsed="false">
      <c r="A232" s="4" t="s">
        <v>1282</v>
      </c>
      <c r="B232" s="4" t="s">
        <v>3939</v>
      </c>
      <c r="C232" s="4" t="s">
        <v>3923</v>
      </c>
      <c r="D232" s="4" t="s">
        <v>3924</v>
      </c>
      <c r="E232" s="7" t="n">
        <v>1</v>
      </c>
    </row>
    <row r="233" customFormat="false" ht="15" hidden="false" customHeight="false" outlineLevel="0" collapsed="false">
      <c r="A233" s="4" t="s">
        <v>1282</v>
      </c>
      <c r="B233" s="4" t="s">
        <v>3943</v>
      </c>
      <c r="C233" s="4" t="s">
        <v>3923</v>
      </c>
      <c r="D233" s="4" t="s">
        <v>3926</v>
      </c>
      <c r="E233" s="7" t="n">
        <v>3</v>
      </c>
    </row>
    <row r="234" customFormat="false" ht="15" hidden="false" customHeight="false" outlineLevel="0" collapsed="false">
      <c r="A234" s="4" t="s">
        <v>1289</v>
      </c>
      <c r="B234" s="4" t="s">
        <v>3944</v>
      </c>
      <c r="C234" s="4" t="s">
        <v>3923</v>
      </c>
      <c r="D234" s="4" t="s">
        <v>3928</v>
      </c>
      <c r="E234" s="7" t="n">
        <v>3</v>
      </c>
    </row>
    <row r="235" customFormat="false" ht="15" hidden="false" customHeight="false" outlineLevel="0" collapsed="false">
      <c r="A235" s="4" t="s">
        <v>1289</v>
      </c>
      <c r="B235" s="4" t="s">
        <v>3945</v>
      </c>
      <c r="C235" s="4" t="s">
        <v>3923</v>
      </c>
      <c r="D235" s="4" t="s">
        <v>3924</v>
      </c>
      <c r="E235" s="7" t="n">
        <v>1</v>
      </c>
    </row>
    <row r="236" customFormat="false" ht="15" hidden="false" customHeight="false" outlineLevel="0" collapsed="false">
      <c r="A236" s="4" t="s">
        <v>1289</v>
      </c>
      <c r="B236" s="4" t="s">
        <v>3931</v>
      </c>
      <c r="C236" s="4" t="s">
        <v>3923</v>
      </c>
      <c r="D236" s="4" t="s">
        <v>3924</v>
      </c>
      <c r="E236" s="7" t="n">
        <v>3</v>
      </c>
    </row>
    <row r="237" customFormat="false" ht="15" hidden="false" customHeight="false" outlineLevel="0" collapsed="false">
      <c r="A237" s="4" t="s">
        <v>1297</v>
      </c>
      <c r="B237" s="4" t="s">
        <v>3944</v>
      </c>
      <c r="C237" s="4" t="s">
        <v>3923</v>
      </c>
      <c r="D237" s="4" t="s">
        <v>3926</v>
      </c>
      <c r="E237" s="7" t="n">
        <v>4</v>
      </c>
    </row>
    <row r="238" customFormat="false" ht="15" hidden="false" customHeight="false" outlineLevel="0" collapsed="false">
      <c r="A238" s="4" t="s">
        <v>1305</v>
      </c>
      <c r="B238" s="4" t="s">
        <v>3925</v>
      </c>
      <c r="C238" s="4" t="s">
        <v>3923</v>
      </c>
      <c r="D238" s="4" t="s">
        <v>3926</v>
      </c>
      <c r="E238" s="7" t="n">
        <v>3</v>
      </c>
    </row>
    <row r="239" customFormat="false" ht="15" hidden="false" customHeight="false" outlineLevel="0" collapsed="false">
      <c r="A239" s="4" t="s">
        <v>1313</v>
      </c>
      <c r="B239" s="4" t="s">
        <v>3932</v>
      </c>
      <c r="C239" s="4" t="s">
        <v>3923</v>
      </c>
      <c r="D239" s="4" t="s">
        <v>3933</v>
      </c>
      <c r="E239" s="7" t="n">
        <v>2</v>
      </c>
    </row>
    <row r="240" customFormat="false" ht="15" hidden="false" customHeight="false" outlineLevel="0" collapsed="false">
      <c r="A240" s="4" t="s">
        <v>1313</v>
      </c>
      <c r="B240" s="4" t="s">
        <v>3922</v>
      </c>
      <c r="C240" s="4" t="s">
        <v>3923</v>
      </c>
      <c r="D240" s="4" t="s">
        <v>3937</v>
      </c>
      <c r="E240" s="7" t="n">
        <v>1</v>
      </c>
    </row>
    <row r="241" customFormat="false" ht="15" hidden="false" customHeight="false" outlineLevel="0" collapsed="false">
      <c r="A241" s="4" t="s">
        <v>1321</v>
      </c>
      <c r="B241" s="4" t="s">
        <v>3927</v>
      </c>
      <c r="C241" s="4" t="s">
        <v>3923</v>
      </c>
      <c r="D241" s="4" t="s">
        <v>3926</v>
      </c>
      <c r="E241" s="7" t="n">
        <v>2</v>
      </c>
    </row>
    <row r="242" customFormat="false" ht="15" hidden="false" customHeight="false" outlineLevel="0" collapsed="false">
      <c r="A242" s="4" t="s">
        <v>1329</v>
      </c>
      <c r="B242" s="4" t="s">
        <v>3936</v>
      </c>
      <c r="C242" s="4" t="s">
        <v>3923</v>
      </c>
      <c r="D242" s="4" t="s">
        <v>3935</v>
      </c>
      <c r="E242" s="7" t="n">
        <v>2</v>
      </c>
    </row>
    <row r="243" customFormat="false" ht="15" hidden="false" customHeight="false" outlineLevel="0" collapsed="false">
      <c r="A243" s="4" t="s">
        <v>1337</v>
      </c>
      <c r="B243" s="4" t="s">
        <v>3944</v>
      </c>
      <c r="C243" s="4" t="s">
        <v>3923</v>
      </c>
      <c r="D243" s="4" t="s">
        <v>3937</v>
      </c>
      <c r="E243" s="7" t="n">
        <v>1</v>
      </c>
    </row>
    <row r="244" customFormat="false" ht="15" hidden="false" customHeight="false" outlineLevel="0" collapsed="false">
      <c r="A244" s="4" t="s">
        <v>1337</v>
      </c>
      <c r="B244" s="4" t="s">
        <v>3929</v>
      </c>
      <c r="C244" s="4" t="s">
        <v>3923</v>
      </c>
      <c r="D244" s="4" t="s">
        <v>3926</v>
      </c>
      <c r="E244" s="7" t="n">
        <v>4</v>
      </c>
    </row>
    <row r="245" customFormat="false" ht="15" hidden="false" customHeight="false" outlineLevel="0" collapsed="false">
      <c r="A245" s="4" t="s">
        <v>1344</v>
      </c>
      <c r="B245" s="4" t="s">
        <v>3929</v>
      </c>
      <c r="C245" s="4" t="s">
        <v>3923</v>
      </c>
      <c r="D245" s="4" t="s">
        <v>3926</v>
      </c>
      <c r="E245" s="7" t="n">
        <v>2</v>
      </c>
    </row>
    <row r="246" customFormat="false" ht="15" hidden="false" customHeight="false" outlineLevel="0" collapsed="false">
      <c r="A246" s="4" t="s">
        <v>1344</v>
      </c>
      <c r="B246" s="4" t="s">
        <v>3942</v>
      </c>
      <c r="C246" s="4" t="s">
        <v>3923</v>
      </c>
      <c r="D246" s="4" t="s">
        <v>3928</v>
      </c>
      <c r="E246" s="7" t="n">
        <v>3</v>
      </c>
    </row>
    <row r="247" customFormat="false" ht="15" hidden="false" customHeight="false" outlineLevel="0" collapsed="false">
      <c r="A247" s="4" t="s">
        <v>1360</v>
      </c>
      <c r="B247" s="4" t="s">
        <v>3938</v>
      </c>
      <c r="C247" s="4" t="s">
        <v>3923</v>
      </c>
      <c r="D247" s="4" t="s">
        <v>3928</v>
      </c>
      <c r="E247" s="7" t="n">
        <v>1</v>
      </c>
    </row>
    <row r="248" customFormat="false" ht="15" hidden="false" customHeight="false" outlineLevel="0" collapsed="false">
      <c r="A248" s="4" t="s">
        <v>1375</v>
      </c>
      <c r="B248" s="4" t="s">
        <v>3946</v>
      </c>
      <c r="C248" s="4" t="s">
        <v>3923</v>
      </c>
      <c r="D248" s="4" t="s">
        <v>3926</v>
      </c>
      <c r="E248" s="7" t="n">
        <v>3</v>
      </c>
    </row>
    <row r="249" customFormat="false" ht="15" hidden="false" customHeight="false" outlineLevel="0" collapsed="false">
      <c r="A249" s="4" t="s">
        <v>1398</v>
      </c>
      <c r="B249" s="4" t="s">
        <v>3942</v>
      </c>
      <c r="C249" s="4" t="s">
        <v>3923</v>
      </c>
      <c r="D249" s="4" t="s">
        <v>3926</v>
      </c>
      <c r="E249" s="7" t="n">
        <v>3</v>
      </c>
    </row>
    <row r="250" customFormat="false" ht="15" hidden="false" customHeight="false" outlineLevel="0" collapsed="false">
      <c r="A250" s="4" t="s">
        <v>1398</v>
      </c>
      <c r="B250" s="4" t="s">
        <v>3945</v>
      </c>
      <c r="C250" s="4" t="s">
        <v>3923</v>
      </c>
      <c r="D250" s="4" t="s">
        <v>3926</v>
      </c>
      <c r="E250" s="7" t="n">
        <v>3</v>
      </c>
    </row>
    <row r="251" customFormat="false" ht="15" hidden="false" customHeight="false" outlineLevel="0" collapsed="false">
      <c r="A251" s="4" t="s">
        <v>1406</v>
      </c>
      <c r="B251" s="4" t="s">
        <v>3942</v>
      </c>
      <c r="C251" s="4" t="s">
        <v>3923</v>
      </c>
      <c r="D251" s="4" t="s">
        <v>3933</v>
      </c>
      <c r="E251" s="7" t="n">
        <v>3</v>
      </c>
    </row>
    <row r="252" customFormat="false" ht="15" hidden="false" customHeight="false" outlineLevel="0" collapsed="false">
      <c r="A252" s="4" t="s">
        <v>1406</v>
      </c>
      <c r="B252" s="4" t="s">
        <v>3944</v>
      </c>
      <c r="C252" s="4" t="s">
        <v>3923</v>
      </c>
      <c r="D252" s="4" t="s">
        <v>3935</v>
      </c>
      <c r="E252" s="7" t="n">
        <v>4</v>
      </c>
    </row>
    <row r="253" customFormat="false" ht="15" hidden="false" customHeight="false" outlineLevel="0" collapsed="false">
      <c r="A253" s="4" t="s">
        <v>1414</v>
      </c>
      <c r="B253" s="4" t="s">
        <v>3943</v>
      </c>
      <c r="C253" s="4" t="s">
        <v>3923</v>
      </c>
      <c r="D253" s="4" t="s">
        <v>3926</v>
      </c>
      <c r="E253" s="7" t="n">
        <v>2</v>
      </c>
    </row>
    <row r="254" customFormat="false" ht="15" hidden="false" customHeight="false" outlineLevel="0" collapsed="false">
      <c r="A254" s="4" t="s">
        <v>1414</v>
      </c>
      <c r="B254" s="4" t="s">
        <v>3945</v>
      </c>
      <c r="C254" s="4" t="s">
        <v>3923</v>
      </c>
      <c r="D254" s="4" t="s">
        <v>3926</v>
      </c>
      <c r="E254" s="7" t="n">
        <v>4</v>
      </c>
    </row>
    <row r="255" customFormat="false" ht="15" hidden="false" customHeight="false" outlineLevel="0" collapsed="false">
      <c r="A255" s="4" t="s">
        <v>1421</v>
      </c>
      <c r="B255" s="4" t="s">
        <v>3932</v>
      </c>
      <c r="C255" s="4" t="s">
        <v>3923</v>
      </c>
      <c r="D255" s="4" t="s">
        <v>3926</v>
      </c>
      <c r="E255" s="7" t="n">
        <v>4</v>
      </c>
    </row>
    <row r="256" customFormat="false" ht="15" hidden="false" customHeight="false" outlineLevel="0" collapsed="false">
      <c r="A256" s="4" t="s">
        <v>1429</v>
      </c>
      <c r="B256" s="4" t="s">
        <v>3922</v>
      </c>
      <c r="C256" s="4" t="s">
        <v>3923</v>
      </c>
      <c r="D256" s="4" t="s">
        <v>3928</v>
      </c>
      <c r="E256" s="7" t="n">
        <v>1</v>
      </c>
    </row>
    <row r="257" customFormat="false" ht="15" hidden="false" customHeight="false" outlineLevel="0" collapsed="false">
      <c r="A257" s="4" t="s">
        <v>1437</v>
      </c>
      <c r="B257" s="4" t="s">
        <v>3943</v>
      </c>
      <c r="C257" s="4" t="s">
        <v>3923</v>
      </c>
      <c r="D257" s="4" t="s">
        <v>3926</v>
      </c>
      <c r="E257" s="7" t="n">
        <v>3</v>
      </c>
    </row>
    <row r="258" customFormat="false" ht="15" hidden="false" customHeight="false" outlineLevel="0" collapsed="false">
      <c r="A258" s="4" t="s">
        <v>1443</v>
      </c>
      <c r="B258" s="4" t="s">
        <v>3940</v>
      </c>
      <c r="C258" s="4" t="s">
        <v>3923</v>
      </c>
      <c r="D258" s="4" t="s">
        <v>3926</v>
      </c>
      <c r="E258" s="7" t="n">
        <v>1</v>
      </c>
    </row>
    <row r="259" customFormat="false" ht="15" hidden="false" customHeight="false" outlineLevel="0" collapsed="false">
      <c r="A259" s="4" t="s">
        <v>1450</v>
      </c>
      <c r="B259" s="4" t="s">
        <v>3936</v>
      </c>
      <c r="C259" s="4" t="s">
        <v>3923</v>
      </c>
      <c r="D259" s="4" t="s">
        <v>3924</v>
      </c>
      <c r="E259" s="7" t="n">
        <v>2</v>
      </c>
    </row>
    <row r="260" customFormat="false" ht="15" hidden="false" customHeight="false" outlineLevel="0" collapsed="false">
      <c r="A260" s="4" t="s">
        <v>1450</v>
      </c>
      <c r="B260" s="4" t="s">
        <v>3946</v>
      </c>
      <c r="C260" s="4" t="s">
        <v>3923</v>
      </c>
      <c r="D260" s="4" t="s">
        <v>3926</v>
      </c>
      <c r="E260" s="7" t="n">
        <v>2</v>
      </c>
    </row>
    <row r="261" customFormat="false" ht="15" hidden="false" customHeight="false" outlineLevel="0" collapsed="false">
      <c r="A261" s="4" t="s">
        <v>1458</v>
      </c>
      <c r="B261" s="4" t="s">
        <v>3941</v>
      </c>
      <c r="C261" s="4" t="s">
        <v>3923</v>
      </c>
      <c r="D261" s="4" t="s">
        <v>3933</v>
      </c>
      <c r="E261" s="7" t="n">
        <v>4</v>
      </c>
    </row>
    <row r="262" customFormat="false" ht="15" hidden="false" customHeight="false" outlineLevel="0" collapsed="false">
      <c r="A262" s="4" t="s">
        <v>1458</v>
      </c>
      <c r="B262" s="4" t="s">
        <v>3925</v>
      </c>
      <c r="C262" s="4" t="s">
        <v>3923</v>
      </c>
      <c r="D262" s="4" t="s">
        <v>3933</v>
      </c>
      <c r="E262" s="7" t="n">
        <v>3</v>
      </c>
    </row>
    <row r="263" customFormat="false" ht="15" hidden="false" customHeight="false" outlineLevel="0" collapsed="false">
      <c r="A263" s="4" t="s">
        <v>1458</v>
      </c>
      <c r="B263" s="4" t="s">
        <v>3940</v>
      </c>
      <c r="C263" s="4" t="s">
        <v>3923</v>
      </c>
      <c r="D263" s="4" t="s">
        <v>3926</v>
      </c>
      <c r="E263" s="7" t="n">
        <v>3</v>
      </c>
    </row>
    <row r="264" customFormat="false" ht="15" hidden="false" customHeight="false" outlineLevel="0" collapsed="false">
      <c r="A264" s="4" t="s">
        <v>1466</v>
      </c>
      <c r="B264" s="4" t="s">
        <v>3932</v>
      </c>
      <c r="C264" s="4" t="s">
        <v>3923</v>
      </c>
      <c r="D264" s="4" t="s">
        <v>3926</v>
      </c>
      <c r="E264" s="7" t="n">
        <v>4</v>
      </c>
    </row>
    <row r="265" customFormat="false" ht="15" hidden="false" customHeight="false" outlineLevel="0" collapsed="false">
      <c r="A265" s="4" t="s">
        <v>1466</v>
      </c>
      <c r="B265" s="4" t="s">
        <v>3938</v>
      </c>
      <c r="C265" s="4" t="s">
        <v>3923</v>
      </c>
      <c r="D265" s="4" t="s">
        <v>3926</v>
      </c>
      <c r="E265" s="7" t="n">
        <v>3</v>
      </c>
    </row>
    <row r="266" customFormat="false" ht="15" hidden="false" customHeight="false" outlineLevel="0" collapsed="false">
      <c r="A266" s="4" t="s">
        <v>1474</v>
      </c>
      <c r="B266" s="4" t="s">
        <v>3938</v>
      </c>
      <c r="C266" s="4" t="s">
        <v>3923</v>
      </c>
      <c r="D266" s="4" t="s">
        <v>3928</v>
      </c>
      <c r="E266" s="7" t="n">
        <v>2</v>
      </c>
    </row>
    <row r="267" customFormat="false" ht="15" hidden="false" customHeight="false" outlineLevel="0" collapsed="false">
      <c r="A267" s="4" t="s">
        <v>1474</v>
      </c>
      <c r="B267" s="4" t="s">
        <v>3943</v>
      </c>
      <c r="C267" s="4" t="s">
        <v>3923</v>
      </c>
      <c r="D267" s="4" t="s">
        <v>3926</v>
      </c>
      <c r="E267" s="7" t="n">
        <v>1</v>
      </c>
    </row>
    <row r="268" customFormat="false" ht="15" hidden="false" customHeight="false" outlineLevel="0" collapsed="false">
      <c r="A268" s="4" t="s">
        <v>1474</v>
      </c>
      <c r="B268" s="4" t="s">
        <v>3927</v>
      </c>
      <c r="C268" s="4" t="s">
        <v>3923</v>
      </c>
      <c r="D268" s="4" t="s">
        <v>3926</v>
      </c>
      <c r="E268" s="7" t="n">
        <v>3</v>
      </c>
    </row>
    <row r="269" customFormat="false" ht="15" hidden="false" customHeight="false" outlineLevel="0" collapsed="false">
      <c r="A269" s="4" t="s">
        <v>1482</v>
      </c>
      <c r="B269" s="4" t="s">
        <v>3942</v>
      </c>
      <c r="C269" s="4" t="s">
        <v>3923</v>
      </c>
      <c r="D269" s="4" t="s">
        <v>3935</v>
      </c>
      <c r="E269" s="7" t="n">
        <v>3</v>
      </c>
    </row>
    <row r="270" customFormat="false" ht="15" hidden="false" customHeight="false" outlineLevel="0" collapsed="false">
      <c r="A270" s="4" t="s">
        <v>1482</v>
      </c>
      <c r="B270" s="4" t="s">
        <v>3939</v>
      </c>
      <c r="C270" s="4" t="s">
        <v>3923</v>
      </c>
      <c r="D270" s="4" t="s">
        <v>3933</v>
      </c>
      <c r="E270" s="7" t="n">
        <v>2</v>
      </c>
    </row>
    <row r="271" customFormat="false" ht="15" hidden="false" customHeight="false" outlineLevel="0" collapsed="false">
      <c r="A271" s="4" t="s">
        <v>1490</v>
      </c>
      <c r="B271" s="4" t="s">
        <v>3931</v>
      </c>
      <c r="C271" s="4" t="s">
        <v>3923</v>
      </c>
      <c r="D271" s="4" t="s">
        <v>3926</v>
      </c>
      <c r="E271" s="7" t="n">
        <v>1</v>
      </c>
    </row>
    <row r="272" customFormat="false" ht="15" hidden="false" customHeight="false" outlineLevel="0" collapsed="false">
      <c r="A272" s="4" t="s">
        <v>1490</v>
      </c>
      <c r="B272" s="4" t="s">
        <v>3932</v>
      </c>
      <c r="C272" s="4" t="s">
        <v>3923</v>
      </c>
      <c r="D272" s="4" t="s">
        <v>3926</v>
      </c>
      <c r="E272" s="7" t="n">
        <v>1</v>
      </c>
    </row>
    <row r="273" customFormat="false" ht="15" hidden="false" customHeight="false" outlineLevel="0" collapsed="false">
      <c r="A273" s="4" t="s">
        <v>1498</v>
      </c>
      <c r="B273" s="4" t="s">
        <v>3942</v>
      </c>
      <c r="C273" s="4" t="s">
        <v>3923</v>
      </c>
      <c r="D273" s="4" t="s">
        <v>3935</v>
      </c>
      <c r="E273" s="7" t="n">
        <v>2</v>
      </c>
    </row>
    <row r="274" customFormat="false" ht="15" hidden="false" customHeight="false" outlineLevel="0" collapsed="false">
      <c r="A274" s="4" t="s">
        <v>1498</v>
      </c>
      <c r="B274" s="4" t="s">
        <v>3930</v>
      </c>
      <c r="C274" s="4" t="s">
        <v>3923</v>
      </c>
      <c r="D274" s="4" t="s">
        <v>3926</v>
      </c>
      <c r="E274" s="7" t="n">
        <v>1</v>
      </c>
    </row>
    <row r="275" customFormat="false" ht="15" hidden="false" customHeight="false" outlineLevel="0" collapsed="false">
      <c r="A275" s="4" t="s">
        <v>1506</v>
      </c>
      <c r="B275" s="4" t="s">
        <v>3932</v>
      </c>
      <c r="C275" s="4" t="s">
        <v>3923</v>
      </c>
      <c r="D275" s="4" t="s">
        <v>3926</v>
      </c>
      <c r="E275" s="7" t="n">
        <v>3</v>
      </c>
    </row>
    <row r="276" customFormat="false" ht="15" hidden="false" customHeight="false" outlineLevel="0" collapsed="false">
      <c r="A276" s="4" t="s">
        <v>1506</v>
      </c>
      <c r="B276" s="4" t="s">
        <v>3940</v>
      </c>
      <c r="C276" s="4" t="s">
        <v>3923</v>
      </c>
      <c r="D276" s="4" t="s">
        <v>3937</v>
      </c>
      <c r="E276" s="7" t="n">
        <v>1</v>
      </c>
    </row>
    <row r="277" customFormat="false" ht="15" hidden="false" customHeight="false" outlineLevel="0" collapsed="false">
      <c r="A277" s="4" t="s">
        <v>1514</v>
      </c>
      <c r="B277" s="4" t="s">
        <v>3929</v>
      </c>
      <c r="C277" s="4" t="s">
        <v>3923</v>
      </c>
      <c r="D277" s="4" t="s">
        <v>3928</v>
      </c>
      <c r="E277" s="7" t="n">
        <v>4</v>
      </c>
    </row>
    <row r="278" customFormat="false" ht="15" hidden="false" customHeight="false" outlineLevel="0" collapsed="false">
      <c r="A278" s="4" t="s">
        <v>1514</v>
      </c>
      <c r="B278" s="4" t="s">
        <v>3943</v>
      </c>
      <c r="C278" s="4" t="s">
        <v>3923</v>
      </c>
      <c r="D278" s="4" t="s">
        <v>3926</v>
      </c>
      <c r="E278" s="7" t="n">
        <v>4</v>
      </c>
    </row>
    <row r="279" customFormat="false" ht="15" hidden="false" customHeight="false" outlineLevel="0" collapsed="false">
      <c r="A279" s="4" t="s">
        <v>1522</v>
      </c>
      <c r="B279" s="4" t="s">
        <v>3929</v>
      </c>
      <c r="C279" s="4" t="s">
        <v>3923</v>
      </c>
      <c r="D279" s="4" t="s">
        <v>3928</v>
      </c>
      <c r="E279" s="7" t="n">
        <v>1</v>
      </c>
    </row>
    <row r="280" customFormat="false" ht="15" hidden="false" customHeight="false" outlineLevel="0" collapsed="false">
      <c r="A280" s="4" t="s">
        <v>1522</v>
      </c>
      <c r="B280" s="4" t="s">
        <v>3945</v>
      </c>
      <c r="C280" s="4" t="s">
        <v>3923</v>
      </c>
      <c r="D280" s="4" t="s">
        <v>3926</v>
      </c>
      <c r="E280" s="7" t="n">
        <v>1</v>
      </c>
    </row>
    <row r="281" customFormat="false" ht="15" hidden="false" customHeight="false" outlineLevel="0" collapsed="false">
      <c r="A281" s="4" t="s">
        <v>1530</v>
      </c>
      <c r="B281" s="4" t="s">
        <v>3945</v>
      </c>
      <c r="C281" s="4" t="s">
        <v>3923</v>
      </c>
      <c r="D281" s="4" t="s">
        <v>3933</v>
      </c>
      <c r="E281" s="7" t="n">
        <v>2</v>
      </c>
    </row>
    <row r="282" customFormat="false" ht="15" hidden="false" customHeight="false" outlineLevel="0" collapsed="false">
      <c r="A282" s="4" t="s">
        <v>1537</v>
      </c>
      <c r="B282" s="4" t="s">
        <v>3940</v>
      </c>
      <c r="C282" s="4" t="s">
        <v>3923</v>
      </c>
      <c r="D282" s="4" t="s">
        <v>3926</v>
      </c>
      <c r="E282" s="7" t="n">
        <v>4</v>
      </c>
    </row>
    <row r="283" customFormat="false" ht="15" hidden="false" customHeight="false" outlineLevel="0" collapsed="false">
      <c r="A283" s="4" t="s">
        <v>1545</v>
      </c>
      <c r="B283" s="4" t="s">
        <v>3925</v>
      </c>
      <c r="C283" s="4" t="s">
        <v>3923</v>
      </c>
      <c r="D283" s="4" t="s">
        <v>3926</v>
      </c>
      <c r="E283" s="7" t="n">
        <v>1</v>
      </c>
    </row>
    <row r="284" customFormat="false" ht="15" hidden="false" customHeight="false" outlineLevel="0" collapsed="false">
      <c r="A284" s="4" t="s">
        <v>1545</v>
      </c>
      <c r="B284" s="4" t="s">
        <v>3944</v>
      </c>
      <c r="C284" s="4" t="s">
        <v>3923</v>
      </c>
      <c r="D284" s="4" t="s">
        <v>3926</v>
      </c>
      <c r="E284" s="7" t="n">
        <v>2</v>
      </c>
    </row>
    <row r="285" customFormat="false" ht="15" hidden="false" customHeight="false" outlineLevel="0" collapsed="false">
      <c r="A285" s="4" t="s">
        <v>1561</v>
      </c>
      <c r="B285" s="4" t="s">
        <v>3945</v>
      </c>
      <c r="C285" s="4" t="s">
        <v>3923</v>
      </c>
      <c r="D285" s="4" t="s">
        <v>3926</v>
      </c>
      <c r="E285" s="7" t="n">
        <v>4</v>
      </c>
    </row>
    <row r="286" customFormat="false" ht="15" hidden="false" customHeight="false" outlineLevel="0" collapsed="false">
      <c r="A286" s="4" t="s">
        <v>1569</v>
      </c>
      <c r="B286" s="4" t="s">
        <v>3942</v>
      </c>
      <c r="C286" s="4" t="s">
        <v>3923</v>
      </c>
      <c r="D286" s="4" t="s">
        <v>3926</v>
      </c>
      <c r="E286" s="7" t="n">
        <v>1</v>
      </c>
    </row>
    <row r="287" customFormat="false" ht="15" hidden="false" customHeight="false" outlineLevel="0" collapsed="false">
      <c r="A287" s="4" t="s">
        <v>1569</v>
      </c>
      <c r="B287" s="4" t="s">
        <v>3931</v>
      </c>
      <c r="C287" s="4" t="s">
        <v>3923</v>
      </c>
      <c r="D287" s="4" t="s">
        <v>3926</v>
      </c>
      <c r="E287" s="7" t="n">
        <v>2</v>
      </c>
    </row>
    <row r="288" customFormat="false" ht="15" hidden="false" customHeight="false" outlineLevel="0" collapsed="false">
      <c r="A288" s="4" t="s">
        <v>1569</v>
      </c>
      <c r="B288" s="4" t="s">
        <v>3927</v>
      </c>
      <c r="C288" s="4" t="s">
        <v>3923</v>
      </c>
      <c r="D288" s="4" t="s">
        <v>3933</v>
      </c>
      <c r="E288" s="7" t="n">
        <v>4</v>
      </c>
    </row>
    <row r="289" customFormat="false" ht="15" hidden="false" customHeight="false" outlineLevel="0" collapsed="false">
      <c r="A289" s="4" t="s">
        <v>1576</v>
      </c>
      <c r="B289" s="4" t="s">
        <v>3927</v>
      </c>
      <c r="C289" s="4" t="s">
        <v>3923</v>
      </c>
      <c r="D289" s="4" t="s">
        <v>3935</v>
      </c>
      <c r="E289" s="7" t="n">
        <v>2</v>
      </c>
    </row>
    <row r="290" customFormat="false" ht="15" hidden="false" customHeight="false" outlineLevel="0" collapsed="false">
      <c r="A290" s="4" t="s">
        <v>1583</v>
      </c>
      <c r="B290" s="4" t="s">
        <v>3946</v>
      </c>
      <c r="C290" s="4" t="s">
        <v>3923</v>
      </c>
      <c r="D290" s="4" t="s">
        <v>3924</v>
      </c>
      <c r="E290" s="7" t="n">
        <v>2</v>
      </c>
    </row>
    <row r="291" customFormat="false" ht="15" hidden="false" customHeight="false" outlineLevel="0" collapsed="false">
      <c r="A291" s="4" t="s">
        <v>1583</v>
      </c>
      <c r="B291" s="4" t="s">
        <v>3945</v>
      </c>
      <c r="C291" s="4" t="s">
        <v>3923</v>
      </c>
      <c r="D291" s="4" t="s">
        <v>3926</v>
      </c>
      <c r="E291" s="7" t="n">
        <v>1</v>
      </c>
    </row>
    <row r="292" customFormat="false" ht="15" hidden="false" customHeight="false" outlineLevel="0" collapsed="false">
      <c r="A292" s="4" t="s">
        <v>1591</v>
      </c>
      <c r="B292" s="4" t="s">
        <v>3931</v>
      </c>
      <c r="C292" s="4" t="s">
        <v>3923</v>
      </c>
      <c r="D292" s="4" t="s">
        <v>3926</v>
      </c>
      <c r="E292" s="7" t="n">
        <v>1</v>
      </c>
    </row>
    <row r="293" customFormat="false" ht="15" hidden="false" customHeight="false" outlineLevel="0" collapsed="false">
      <c r="A293" s="4" t="s">
        <v>1591</v>
      </c>
      <c r="B293" s="4" t="s">
        <v>3932</v>
      </c>
      <c r="C293" s="4" t="s">
        <v>3923</v>
      </c>
      <c r="D293" s="4" t="s">
        <v>3935</v>
      </c>
      <c r="E293" s="7" t="n">
        <v>3</v>
      </c>
    </row>
    <row r="294" customFormat="false" ht="15" hidden="false" customHeight="false" outlineLevel="0" collapsed="false">
      <c r="A294" s="4" t="s">
        <v>1599</v>
      </c>
      <c r="B294" s="4" t="s">
        <v>3936</v>
      </c>
      <c r="C294" s="4" t="s">
        <v>3923</v>
      </c>
      <c r="D294" s="4" t="s">
        <v>3926</v>
      </c>
      <c r="E294" s="7" t="n">
        <v>2</v>
      </c>
    </row>
    <row r="295" customFormat="false" ht="15" hidden="false" customHeight="false" outlineLevel="0" collapsed="false">
      <c r="A295" s="4" t="s">
        <v>1607</v>
      </c>
      <c r="B295" s="4" t="s">
        <v>3927</v>
      </c>
      <c r="C295" s="4" t="s">
        <v>3923</v>
      </c>
      <c r="D295" s="4" t="s">
        <v>3928</v>
      </c>
      <c r="E295" s="7" t="n">
        <v>4</v>
      </c>
    </row>
    <row r="296" customFormat="false" ht="15" hidden="false" customHeight="false" outlineLevel="0" collapsed="false">
      <c r="A296" s="4" t="s">
        <v>1607</v>
      </c>
      <c r="B296" s="4" t="s">
        <v>3930</v>
      </c>
      <c r="C296" s="4" t="s">
        <v>3923</v>
      </c>
      <c r="D296" s="4" t="s">
        <v>3926</v>
      </c>
      <c r="E296" s="7" t="n">
        <v>2</v>
      </c>
    </row>
    <row r="297" customFormat="false" ht="15" hidden="false" customHeight="false" outlineLevel="0" collapsed="false">
      <c r="A297" s="4" t="s">
        <v>1615</v>
      </c>
      <c r="B297" s="4" t="s">
        <v>3929</v>
      </c>
      <c r="C297" s="4" t="s">
        <v>3923</v>
      </c>
      <c r="D297" s="4" t="s">
        <v>3937</v>
      </c>
      <c r="E297" s="7" t="n">
        <v>2</v>
      </c>
    </row>
    <row r="298" customFormat="false" ht="15" hidden="false" customHeight="false" outlineLevel="0" collapsed="false">
      <c r="A298" s="4" t="s">
        <v>1623</v>
      </c>
      <c r="B298" s="4" t="s">
        <v>3939</v>
      </c>
      <c r="C298" s="4" t="s">
        <v>3923</v>
      </c>
      <c r="D298" s="4" t="s">
        <v>3926</v>
      </c>
      <c r="E298" s="7" t="n">
        <v>4</v>
      </c>
    </row>
    <row r="299" customFormat="false" ht="15" hidden="false" customHeight="false" outlineLevel="0" collapsed="false">
      <c r="A299" s="4" t="s">
        <v>1631</v>
      </c>
      <c r="B299" s="4" t="s">
        <v>3938</v>
      </c>
      <c r="C299" s="4" t="s">
        <v>3923</v>
      </c>
      <c r="D299" s="4" t="s">
        <v>3924</v>
      </c>
      <c r="E299" s="7" t="n">
        <v>4</v>
      </c>
    </row>
    <row r="300" customFormat="false" ht="15" hidden="false" customHeight="false" outlineLevel="0" collapsed="false">
      <c r="A300" s="4" t="s">
        <v>1639</v>
      </c>
      <c r="B300" s="4" t="s">
        <v>3939</v>
      </c>
      <c r="C300" s="4" t="s">
        <v>3923</v>
      </c>
      <c r="D300" s="4" t="s">
        <v>3937</v>
      </c>
      <c r="E300" s="7" t="n">
        <v>3</v>
      </c>
    </row>
    <row r="301" customFormat="false" ht="15" hidden="false" customHeight="false" outlineLevel="0" collapsed="false">
      <c r="A301" s="4" t="s">
        <v>1647</v>
      </c>
      <c r="B301" s="4" t="s">
        <v>3931</v>
      </c>
      <c r="C301" s="4" t="s">
        <v>3923</v>
      </c>
      <c r="D301" s="4" t="s">
        <v>3937</v>
      </c>
      <c r="E301" s="7" t="n">
        <v>2</v>
      </c>
    </row>
    <row r="302" customFormat="false" ht="15" hidden="false" customHeight="false" outlineLevel="0" collapsed="false">
      <c r="A302" s="4" t="s">
        <v>1647</v>
      </c>
      <c r="B302" s="4" t="s">
        <v>3932</v>
      </c>
      <c r="C302" s="4" t="s">
        <v>3923</v>
      </c>
      <c r="D302" s="4" t="s">
        <v>3937</v>
      </c>
      <c r="E302" s="7" t="n">
        <v>2</v>
      </c>
    </row>
    <row r="303" customFormat="false" ht="15" hidden="false" customHeight="false" outlineLevel="0" collapsed="false">
      <c r="A303" s="4" t="s">
        <v>1655</v>
      </c>
      <c r="B303" s="4" t="s">
        <v>3942</v>
      </c>
      <c r="C303" s="4" t="s">
        <v>3923</v>
      </c>
      <c r="D303" s="4" t="s">
        <v>3926</v>
      </c>
      <c r="E303" s="7" t="n">
        <v>3</v>
      </c>
    </row>
    <row r="304" customFormat="false" ht="15" hidden="false" customHeight="false" outlineLevel="0" collapsed="false">
      <c r="A304" s="4" t="s">
        <v>1655</v>
      </c>
      <c r="B304" s="4" t="s">
        <v>3927</v>
      </c>
      <c r="C304" s="4" t="s">
        <v>3923</v>
      </c>
      <c r="D304" s="4" t="s">
        <v>3926</v>
      </c>
      <c r="E304" s="7" t="n">
        <v>2</v>
      </c>
    </row>
    <row r="305" customFormat="false" ht="15" hidden="false" customHeight="false" outlineLevel="0" collapsed="false">
      <c r="A305" s="4" t="s">
        <v>1655</v>
      </c>
      <c r="B305" s="4" t="s">
        <v>3925</v>
      </c>
      <c r="C305" s="4" t="s">
        <v>3923</v>
      </c>
      <c r="D305" s="4" t="s">
        <v>3926</v>
      </c>
      <c r="E305" s="7" t="n">
        <v>3</v>
      </c>
    </row>
    <row r="306" customFormat="false" ht="15" hidden="false" customHeight="false" outlineLevel="0" collapsed="false">
      <c r="A306" s="4" t="s">
        <v>1663</v>
      </c>
      <c r="B306" s="4" t="s">
        <v>3940</v>
      </c>
      <c r="C306" s="4" t="s">
        <v>3923</v>
      </c>
      <c r="D306" s="4" t="s">
        <v>3933</v>
      </c>
      <c r="E306" s="7" t="n">
        <v>3</v>
      </c>
    </row>
    <row r="307" customFormat="false" ht="15" hidden="false" customHeight="false" outlineLevel="0" collapsed="false">
      <c r="A307" s="4" t="s">
        <v>1663</v>
      </c>
      <c r="B307" s="4" t="s">
        <v>3922</v>
      </c>
      <c r="C307" s="4" t="s">
        <v>3923</v>
      </c>
      <c r="D307" s="4" t="s">
        <v>3937</v>
      </c>
      <c r="E307" s="7" t="n">
        <v>4</v>
      </c>
    </row>
    <row r="308" customFormat="false" ht="15" hidden="false" customHeight="false" outlineLevel="0" collapsed="false">
      <c r="A308" s="4" t="s">
        <v>1671</v>
      </c>
      <c r="B308" s="4" t="s">
        <v>3932</v>
      </c>
      <c r="C308" s="4" t="s">
        <v>3923</v>
      </c>
      <c r="D308" s="4" t="s">
        <v>3924</v>
      </c>
      <c r="E308" s="7" t="n">
        <v>2</v>
      </c>
    </row>
    <row r="309" customFormat="false" ht="15" hidden="false" customHeight="false" outlineLevel="0" collapsed="false">
      <c r="A309" s="4" t="s">
        <v>1671</v>
      </c>
      <c r="B309" s="4" t="s">
        <v>3929</v>
      </c>
      <c r="C309" s="4" t="s">
        <v>3923</v>
      </c>
      <c r="D309" s="4" t="s">
        <v>3926</v>
      </c>
      <c r="E309" s="7" t="n">
        <v>3</v>
      </c>
    </row>
    <row r="310" customFormat="false" ht="15" hidden="false" customHeight="false" outlineLevel="0" collapsed="false">
      <c r="A310" s="4" t="s">
        <v>1679</v>
      </c>
      <c r="B310" s="4" t="s">
        <v>3944</v>
      </c>
      <c r="C310" s="4" t="s">
        <v>3923</v>
      </c>
      <c r="D310" s="4" t="s">
        <v>3926</v>
      </c>
      <c r="E310" s="7" t="n">
        <v>4</v>
      </c>
    </row>
    <row r="311" customFormat="false" ht="15" hidden="false" customHeight="false" outlineLevel="0" collapsed="false">
      <c r="A311" s="4" t="s">
        <v>1679</v>
      </c>
      <c r="B311" s="4" t="s">
        <v>3938</v>
      </c>
      <c r="C311" s="4" t="s">
        <v>3923</v>
      </c>
      <c r="D311" s="4" t="s">
        <v>3935</v>
      </c>
      <c r="E311" s="7" t="n">
        <v>1</v>
      </c>
    </row>
    <row r="312" customFormat="false" ht="15" hidden="false" customHeight="false" outlineLevel="0" collapsed="false">
      <c r="A312" s="4" t="s">
        <v>1687</v>
      </c>
      <c r="B312" s="4" t="s">
        <v>3938</v>
      </c>
      <c r="C312" s="4" t="s">
        <v>3923</v>
      </c>
      <c r="D312" s="4" t="s">
        <v>3926</v>
      </c>
      <c r="E312" s="7" t="n">
        <v>4</v>
      </c>
    </row>
    <row r="313" customFormat="false" ht="15" hidden="false" customHeight="false" outlineLevel="0" collapsed="false">
      <c r="A313" s="4" t="s">
        <v>1695</v>
      </c>
      <c r="B313" s="4" t="s">
        <v>3931</v>
      </c>
      <c r="C313" s="4" t="s">
        <v>3923</v>
      </c>
      <c r="D313" s="4" t="s">
        <v>3926</v>
      </c>
      <c r="E313" s="7" t="n">
        <v>2</v>
      </c>
    </row>
    <row r="314" customFormat="false" ht="15" hidden="false" customHeight="false" outlineLevel="0" collapsed="false">
      <c r="A314" s="4" t="s">
        <v>1703</v>
      </c>
      <c r="B314" s="4" t="s">
        <v>3944</v>
      </c>
      <c r="C314" s="4" t="s">
        <v>3923</v>
      </c>
      <c r="D314" s="4" t="s">
        <v>3926</v>
      </c>
      <c r="E314" s="7" t="n">
        <v>3</v>
      </c>
    </row>
    <row r="315" customFormat="false" ht="15" hidden="false" customHeight="false" outlineLevel="0" collapsed="false">
      <c r="A315" s="4" t="s">
        <v>1703</v>
      </c>
      <c r="B315" s="4" t="s">
        <v>3939</v>
      </c>
      <c r="C315" s="4" t="s">
        <v>3923</v>
      </c>
      <c r="D315" s="4" t="s">
        <v>3933</v>
      </c>
      <c r="E315" s="7" t="n">
        <v>2</v>
      </c>
    </row>
    <row r="316" customFormat="false" ht="15" hidden="false" customHeight="false" outlineLevel="0" collapsed="false">
      <c r="A316" s="4" t="s">
        <v>1703</v>
      </c>
      <c r="B316" s="4" t="s">
        <v>3946</v>
      </c>
      <c r="C316" s="4" t="s">
        <v>3923</v>
      </c>
      <c r="D316" s="4" t="s">
        <v>3935</v>
      </c>
      <c r="E316" s="7" t="n">
        <v>1</v>
      </c>
    </row>
    <row r="317" customFormat="false" ht="15" hidden="false" customHeight="false" outlineLevel="0" collapsed="false">
      <c r="A317" s="4" t="s">
        <v>1711</v>
      </c>
      <c r="B317" s="4" t="s">
        <v>3934</v>
      </c>
      <c r="C317" s="4" t="s">
        <v>3923</v>
      </c>
      <c r="D317" s="4" t="s">
        <v>3935</v>
      </c>
      <c r="E317" s="7" t="n">
        <v>4</v>
      </c>
    </row>
    <row r="318" customFormat="false" ht="15" hidden="false" customHeight="false" outlineLevel="0" collapsed="false">
      <c r="A318" s="4" t="s">
        <v>1711</v>
      </c>
      <c r="B318" s="4" t="s">
        <v>3927</v>
      </c>
      <c r="C318" s="4" t="s">
        <v>3923</v>
      </c>
      <c r="D318" s="4" t="s">
        <v>3926</v>
      </c>
      <c r="E318" s="7" t="n">
        <v>3</v>
      </c>
    </row>
    <row r="319" customFormat="false" ht="15" hidden="false" customHeight="false" outlineLevel="0" collapsed="false">
      <c r="A319" s="4" t="s">
        <v>1719</v>
      </c>
      <c r="B319" s="4" t="s">
        <v>3938</v>
      </c>
      <c r="C319" s="4" t="s">
        <v>3923</v>
      </c>
      <c r="D319" s="4" t="s">
        <v>3937</v>
      </c>
      <c r="E319" s="7" t="n">
        <v>2</v>
      </c>
    </row>
    <row r="320" customFormat="false" ht="15" hidden="false" customHeight="false" outlineLevel="0" collapsed="false">
      <c r="A320" s="4" t="s">
        <v>1719</v>
      </c>
      <c r="B320" s="4" t="s">
        <v>3934</v>
      </c>
      <c r="C320" s="4" t="s">
        <v>3923</v>
      </c>
      <c r="D320" s="4" t="s">
        <v>3926</v>
      </c>
      <c r="E320" s="7" t="n">
        <v>4</v>
      </c>
    </row>
    <row r="321" customFormat="false" ht="15" hidden="false" customHeight="false" outlineLevel="0" collapsed="false">
      <c r="A321" s="4" t="s">
        <v>1726</v>
      </c>
      <c r="B321" s="4" t="s">
        <v>3927</v>
      </c>
      <c r="C321" s="4" t="s">
        <v>3923</v>
      </c>
      <c r="D321" s="4" t="s">
        <v>3926</v>
      </c>
      <c r="E321" s="7" t="n">
        <v>1</v>
      </c>
    </row>
    <row r="322" customFormat="false" ht="15" hidden="false" customHeight="false" outlineLevel="0" collapsed="false">
      <c r="A322" s="4" t="s">
        <v>1726</v>
      </c>
      <c r="B322" s="4" t="s">
        <v>3939</v>
      </c>
      <c r="C322" s="4" t="s">
        <v>3923</v>
      </c>
      <c r="D322" s="4" t="s">
        <v>3926</v>
      </c>
      <c r="E322" s="7" t="n">
        <v>3</v>
      </c>
    </row>
    <row r="323" customFormat="false" ht="15" hidden="false" customHeight="false" outlineLevel="0" collapsed="false">
      <c r="A323" s="4" t="s">
        <v>1733</v>
      </c>
      <c r="B323" s="4" t="s">
        <v>3929</v>
      </c>
      <c r="C323" s="4" t="s">
        <v>3923</v>
      </c>
      <c r="D323" s="4" t="s">
        <v>3926</v>
      </c>
      <c r="E323" s="7" t="n">
        <v>1</v>
      </c>
    </row>
    <row r="324" customFormat="false" ht="15" hidden="false" customHeight="false" outlineLevel="0" collapsed="false">
      <c r="A324" s="4" t="s">
        <v>1733</v>
      </c>
      <c r="B324" s="4" t="s">
        <v>3944</v>
      </c>
      <c r="C324" s="4" t="s">
        <v>3923</v>
      </c>
      <c r="D324" s="4" t="s">
        <v>3924</v>
      </c>
      <c r="E324" s="7" t="n">
        <v>4</v>
      </c>
    </row>
    <row r="325" customFormat="false" ht="15" hidden="false" customHeight="false" outlineLevel="0" collapsed="false">
      <c r="A325" s="4" t="s">
        <v>1733</v>
      </c>
      <c r="B325" s="4" t="s">
        <v>3925</v>
      </c>
      <c r="C325" s="4" t="s">
        <v>3923</v>
      </c>
      <c r="D325" s="4" t="s">
        <v>3937</v>
      </c>
      <c r="E325" s="7" t="n">
        <v>2</v>
      </c>
    </row>
    <row r="326" customFormat="false" ht="15" hidden="false" customHeight="false" outlineLevel="0" collapsed="false">
      <c r="A326" s="4" t="s">
        <v>1741</v>
      </c>
      <c r="B326" s="4" t="s">
        <v>3934</v>
      </c>
      <c r="C326" s="4" t="s">
        <v>3923</v>
      </c>
      <c r="D326" s="4" t="s">
        <v>3926</v>
      </c>
      <c r="E326" s="7" t="n">
        <v>3</v>
      </c>
    </row>
    <row r="327" customFormat="false" ht="15" hidden="false" customHeight="false" outlineLevel="0" collapsed="false">
      <c r="A327" s="4" t="s">
        <v>1756</v>
      </c>
      <c r="B327" s="4" t="s">
        <v>3944</v>
      </c>
      <c r="C327" s="4" t="s">
        <v>3923</v>
      </c>
      <c r="D327" s="4" t="s">
        <v>3926</v>
      </c>
      <c r="E327" s="7" t="n">
        <v>4</v>
      </c>
    </row>
    <row r="328" customFormat="false" ht="15" hidden="false" customHeight="false" outlineLevel="0" collapsed="false">
      <c r="A328" s="4" t="s">
        <v>1764</v>
      </c>
      <c r="B328" s="4" t="s">
        <v>3927</v>
      </c>
      <c r="C328" s="4" t="s">
        <v>3923</v>
      </c>
      <c r="D328" s="4" t="s">
        <v>3937</v>
      </c>
      <c r="E328" s="7" t="n">
        <v>3</v>
      </c>
    </row>
    <row r="329" customFormat="false" ht="15" hidden="false" customHeight="false" outlineLevel="0" collapsed="false">
      <c r="A329" s="4" t="s">
        <v>1764</v>
      </c>
      <c r="B329" s="4" t="s">
        <v>3938</v>
      </c>
      <c r="C329" s="4" t="s">
        <v>3923</v>
      </c>
      <c r="D329" s="4" t="s">
        <v>3926</v>
      </c>
      <c r="E329" s="7" t="n">
        <v>1</v>
      </c>
    </row>
    <row r="330" customFormat="false" ht="15" hidden="false" customHeight="false" outlineLevel="0" collapsed="false">
      <c r="A330" s="4" t="s">
        <v>1772</v>
      </c>
      <c r="B330" s="4" t="s">
        <v>3940</v>
      </c>
      <c r="C330" s="4" t="s">
        <v>3923</v>
      </c>
      <c r="D330" s="4" t="s">
        <v>3926</v>
      </c>
      <c r="E330" s="7" t="n">
        <v>1</v>
      </c>
    </row>
    <row r="331" customFormat="false" ht="15" hidden="false" customHeight="false" outlineLevel="0" collapsed="false">
      <c r="A331" s="4" t="s">
        <v>1780</v>
      </c>
      <c r="B331" s="4" t="s">
        <v>3930</v>
      </c>
      <c r="C331" s="4" t="s">
        <v>3923</v>
      </c>
      <c r="D331" s="4" t="s">
        <v>3926</v>
      </c>
      <c r="E331" s="7" t="n">
        <v>3</v>
      </c>
    </row>
    <row r="332" customFormat="false" ht="15" hidden="false" customHeight="false" outlineLevel="0" collapsed="false">
      <c r="A332" s="4" t="s">
        <v>1788</v>
      </c>
      <c r="B332" s="4" t="s">
        <v>3930</v>
      </c>
      <c r="C332" s="4" t="s">
        <v>3923</v>
      </c>
      <c r="D332" s="4" t="s">
        <v>3926</v>
      </c>
      <c r="E332" s="7" t="n">
        <v>1</v>
      </c>
    </row>
    <row r="333" customFormat="false" ht="15" hidden="false" customHeight="false" outlineLevel="0" collapsed="false">
      <c r="A333" s="4" t="s">
        <v>1795</v>
      </c>
      <c r="B333" s="4" t="s">
        <v>3941</v>
      </c>
      <c r="C333" s="4" t="s">
        <v>3923</v>
      </c>
      <c r="D333" s="4" t="s">
        <v>3928</v>
      </c>
      <c r="E333" s="7" t="n">
        <v>4</v>
      </c>
    </row>
    <row r="334" customFormat="false" ht="15" hidden="false" customHeight="false" outlineLevel="0" collapsed="false">
      <c r="A334" s="4" t="s">
        <v>1795</v>
      </c>
      <c r="B334" s="4" t="s">
        <v>3942</v>
      </c>
      <c r="C334" s="4" t="s">
        <v>3923</v>
      </c>
      <c r="D334" s="4" t="s">
        <v>3926</v>
      </c>
      <c r="E334" s="7" t="n">
        <v>2</v>
      </c>
    </row>
    <row r="335" customFormat="false" ht="15" hidden="false" customHeight="false" outlineLevel="0" collapsed="false">
      <c r="A335" s="4" t="s">
        <v>1795</v>
      </c>
      <c r="B335" s="4" t="s">
        <v>3943</v>
      </c>
      <c r="C335" s="4" t="s">
        <v>3923</v>
      </c>
      <c r="D335" s="4" t="s">
        <v>3926</v>
      </c>
      <c r="E335" s="7" t="n">
        <v>2</v>
      </c>
    </row>
    <row r="336" customFormat="false" ht="15" hidden="false" customHeight="false" outlineLevel="0" collapsed="false">
      <c r="A336" s="4" t="s">
        <v>1803</v>
      </c>
      <c r="B336" s="4" t="s">
        <v>3931</v>
      </c>
      <c r="C336" s="4" t="s">
        <v>3923</v>
      </c>
      <c r="D336" s="4" t="s">
        <v>3924</v>
      </c>
      <c r="E336" s="7" t="n">
        <v>4</v>
      </c>
    </row>
    <row r="337" customFormat="false" ht="15" hidden="false" customHeight="false" outlineLevel="0" collapsed="false">
      <c r="A337" s="4" t="s">
        <v>1803</v>
      </c>
      <c r="B337" s="4" t="s">
        <v>3927</v>
      </c>
      <c r="C337" s="4" t="s">
        <v>3923</v>
      </c>
      <c r="D337" s="4" t="s">
        <v>3937</v>
      </c>
      <c r="E337" s="7" t="n">
        <v>4</v>
      </c>
    </row>
    <row r="338" customFormat="false" ht="15" hidden="false" customHeight="false" outlineLevel="0" collapsed="false">
      <c r="A338" s="4" t="s">
        <v>1803</v>
      </c>
      <c r="B338" s="4" t="s">
        <v>3946</v>
      </c>
      <c r="C338" s="4" t="s">
        <v>3923</v>
      </c>
      <c r="D338" s="4" t="s">
        <v>3933</v>
      </c>
      <c r="E338" s="7" t="n">
        <v>1</v>
      </c>
    </row>
    <row r="339" customFormat="false" ht="15" hidden="false" customHeight="false" outlineLevel="0" collapsed="false">
      <c r="A339" s="4" t="s">
        <v>1811</v>
      </c>
      <c r="B339" s="4" t="s">
        <v>3932</v>
      </c>
      <c r="C339" s="4" t="s">
        <v>3923</v>
      </c>
      <c r="D339" s="4" t="s">
        <v>3935</v>
      </c>
      <c r="E339" s="7" t="n">
        <v>4</v>
      </c>
    </row>
    <row r="340" customFormat="false" ht="15" hidden="false" customHeight="false" outlineLevel="0" collapsed="false">
      <c r="A340" s="4" t="s">
        <v>1811</v>
      </c>
      <c r="B340" s="4" t="s">
        <v>3944</v>
      </c>
      <c r="C340" s="4" t="s">
        <v>3923</v>
      </c>
      <c r="D340" s="4" t="s">
        <v>3926</v>
      </c>
      <c r="E340" s="7" t="n">
        <v>3</v>
      </c>
    </row>
    <row r="341" customFormat="false" ht="15" hidden="false" customHeight="false" outlineLevel="0" collapsed="false">
      <c r="A341" s="4" t="s">
        <v>1826</v>
      </c>
      <c r="B341" s="4" t="s">
        <v>3938</v>
      </c>
      <c r="C341" s="4" t="s">
        <v>3923</v>
      </c>
      <c r="D341" s="4" t="s">
        <v>3926</v>
      </c>
      <c r="E341" s="7" t="n">
        <v>1</v>
      </c>
    </row>
    <row r="342" customFormat="false" ht="15" hidden="false" customHeight="false" outlineLevel="0" collapsed="false">
      <c r="A342" s="4" t="s">
        <v>1826</v>
      </c>
      <c r="B342" s="4" t="s">
        <v>3944</v>
      </c>
      <c r="C342" s="4" t="s">
        <v>3923</v>
      </c>
      <c r="D342" s="4" t="s">
        <v>3926</v>
      </c>
      <c r="E342" s="7" t="n">
        <v>3</v>
      </c>
    </row>
    <row r="343" customFormat="false" ht="15" hidden="false" customHeight="false" outlineLevel="0" collapsed="false">
      <c r="A343" s="4" t="s">
        <v>1834</v>
      </c>
      <c r="B343" s="4" t="s">
        <v>3931</v>
      </c>
      <c r="C343" s="4" t="s">
        <v>3923</v>
      </c>
      <c r="D343" s="4" t="s">
        <v>3926</v>
      </c>
      <c r="E343" s="7" t="n">
        <v>1</v>
      </c>
    </row>
    <row r="344" customFormat="false" ht="15" hidden="false" customHeight="false" outlineLevel="0" collapsed="false">
      <c r="A344" s="4" t="s">
        <v>1834</v>
      </c>
      <c r="B344" s="4" t="s">
        <v>3930</v>
      </c>
      <c r="C344" s="4" t="s">
        <v>3923</v>
      </c>
      <c r="D344" s="4" t="s">
        <v>3926</v>
      </c>
      <c r="E344" s="7" t="n">
        <v>4</v>
      </c>
    </row>
    <row r="345" customFormat="false" ht="15" hidden="false" customHeight="false" outlineLevel="0" collapsed="false">
      <c r="A345" s="4" t="s">
        <v>1834</v>
      </c>
      <c r="B345" s="4" t="s">
        <v>3945</v>
      </c>
      <c r="C345" s="4" t="s">
        <v>3923</v>
      </c>
      <c r="D345" s="4" t="s">
        <v>3924</v>
      </c>
      <c r="E345" s="7" t="n">
        <v>4</v>
      </c>
    </row>
    <row r="346" customFormat="false" ht="15" hidden="false" customHeight="false" outlineLevel="0" collapsed="false">
      <c r="A346" s="4" t="s">
        <v>1842</v>
      </c>
      <c r="B346" s="4" t="s">
        <v>3939</v>
      </c>
      <c r="C346" s="4" t="s">
        <v>3923</v>
      </c>
      <c r="D346" s="4" t="s">
        <v>3933</v>
      </c>
      <c r="E346" s="7" t="n">
        <v>3</v>
      </c>
    </row>
    <row r="347" customFormat="false" ht="15" hidden="false" customHeight="false" outlineLevel="0" collapsed="false">
      <c r="A347" s="4" t="s">
        <v>1850</v>
      </c>
      <c r="B347" s="4" t="s">
        <v>3934</v>
      </c>
      <c r="C347" s="4" t="s">
        <v>3923</v>
      </c>
      <c r="D347" s="4" t="s">
        <v>3928</v>
      </c>
      <c r="E347" s="7" t="n">
        <v>2</v>
      </c>
    </row>
    <row r="348" customFormat="false" ht="15" hidden="false" customHeight="false" outlineLevel="0" collapsed="false">
      <c r="A348" s="4" t="s">
        <v>1865</v>
      </c>
      <c r="B348" s="4" t="s">
        <v>3944</v>
      </c>
      <c r="C348" s="4" t="s">
        <v>3923</v>
      </c>
      <c r="D348" s="4" t="s">
        <v>3926</v>
      </c>
      <c r="E348" s="7" t="n">
        <v>1</v>
      </c>
    </row>
    <row r="349" customFormat="false" ht="15" hidden="false" customHeight="false" outlineLevel="0" collapsed="false">
      <c r="A349" s="4" t="s">
        <v>1865</v>
      </c>
      <c r="B349" s="4" t="s">
        <v>3938</v>
      </c>
      <c r="C349" s="4" t="s">
        <v>3923</v>
      </c>
      <c r="D349" s="4" t="s">
        <v>3928</v>
      </c>
      <c r="E349" s="7" t="n">
        <v>1</v>
      </c>
    </row>
    <row r="350" customFormat="false" ht="15" hidden="false" customHeight="false" outlineLevel="0" collapsed="false">
      <c r="A350" s="4" t="s">
        <v>1872</v>
      </c>
      <c r="B350" s="4" t="s">
        <v>3932</v>
      </c>
      <c r="C350" s="4" t="s">
        <v>3923</v>
      </c>
      <c r="D350" s="4" t="s">
        <v>3928</v>
      </c>
      <c r="E350" s="7" t="n">
        <v>1</v>
      </c>
    </row>
    <row r="351" customFormat="false" ht="15" hidden="false" customHeight="false" outlineLevel="0" collapsed="false">
      <c r="A351" s="4" t="s">
        <v>1872</v>
      </c>
      <c r="B351" s="4" t="s">
        <v>3946</v>
      </c>
      <c r="C351" s="4" t="s">
        <v>3923</v>
      </c>
      <c r="D351" s="4" t="s">
        <v>3926</v>
      </c>
      <c r="E351" s="7" t="n">
        <v>4</v>
      </c>
    </row>
    <row r="352" customFormat="false" ht="15" hidden="false" customHeight="false" outlineLevel="0" collapsed="false">
      <c r="A352" s="4" t="s">
        <v>1880</v>
      </c>
      <c r="B352" s="4" t="s">
        <v>3939</v>
      </c>
      <c r="C352" s="4" t="s">
        <v>3923</v>
      </c>
      <c r="D352" s="4" t="s">
        <v>3935</v>
      </c>
      <c r="E352" s="7" t="n">
        <v>3</v>
      </c>
    </row>
    <row r="353" customFormat="false" ht="15" hidden="false" customHeight="false" outlineLevel="0" collapsed="false">
      <c r="A353" s="4" t="s">
        <v>1888</v>
      </c>
      <c r="B353" s="4" t="s">
        <v>3942</v>
      </c>
      <c r="C353" s="4" t="s">
        <v>3923</v>
      </c>
      <c r="D353" s="4" t="s">
        <v>3926</v>
      </c>
      <c r="E353" s="7" t="n">
        <v>2</v>
      </c>
    </row>
    <row r="354" customFormat="false" ht="15" hidden="false" customHeight="false" outlineLevel="0" collapsed="false">
      <c r="A354" s="4" t="s">
        <v>1888</v>
      </c>
      <c r="B354" s="4" t="s">
        <v>3927</v>
      </c>
      <c r="C354" s="4" t="s">
        <v>3923</v>
      </c>
      <c r="D354" s="4" t="s">
        <v>3926</v>
      </c>
      <c r="E354" s="7" t="n">
        <v>1</v>
      </c>
    </row>
    <row r="355" customFormat="false" ht="15" hidden="false" customHeight="false" outlineLevel="0" collapsed="false">
      <c r="A355" s="4" t="s">
        <v>1896</v>
      </c>
      <c r="B355" s="4" t="s">
        <v>3922</v>
      </c>
      <c r="C355" s="4" t="s">
        <v>3923</v>
      </c>
      <c r="D355" s="4" t="s">
        <v>3926</v>
      </c>
      <c r="E355" s="7" t="n">
        <v>4</v>
      </c>
    </row>
    <row r="356" customFormat="false" ht="15" hidden="false" customHeight="false" outlineLevel="0" collapsed="false">
      <c r="A356" s="4" t="s">
        <v>1896</v>
      </c>
      <c r="B356" s="4" t="s">
        <v>3939</v>
      </c>
      <c r="C356" s="4" t="s">
        <v>3923</v>
      </c>
      <c r="D356" s="4" t="s">
        <v>3928</v>
      </c>
      <c r="E356" s="7" t="n">
        <v>2</v>
      </c>
    </row>
    <row r="357" customFormat="false" ht="15" hidden="false" customHeight="false" outlineLevel="0" collapsed="false">
      <c r="A357" s="4" t="s">
        <v>1896</v>
      </c>
      <c r="B357" s="4" t="s">
        <v>3931</v>
      </c>
      <c r="C357" s="4" t="s">
        <v>3923</v>
      </c>
      <c r="D357" s="4" t="s">
        <v>3924</v>
      </c>
      <c r="E357" s="7" t="n">
        <v>3</v>
      </c>
    </row>
    <row r="358" customFormat="false" ht="15" hidden="false" customHeight="false" outlineLevel="0" collapsed="false">
      <c r="A358" s="4" t="s">
        <v>1903</v>
      </c>
      <c r="B358" s="4" t="s">
        <v>3943</v>
      </c>
      <c r="C358" s="4" t="s">
        <v>3923</v>
      </c>
      <c r="D358" s="4" t="s">
        <v>3926</v>
      </c>
      <c r="E358" s="7" t="n">
        <v>4</v>
      </c>
    </row>
    <row r="359" customFormat="false" ht="15" hidden="false" customHeight="false" outlineLevel="0" collapsed="false">
      <c r="A359" s="4" t="s">
        <v>1910</v>
      </c>
      <c r="B359" s="4" t="s">
        <v>3934</v>
      </c>
      <c r="C359" s="4" t="s">
        <v>3923</v>
      </c>
      <c r="D359" s="4" t="s">
        <v>3933</v>
      </c>
      <c r="E359" s="7" t="n">
        <v>1</v>
      </c>
    </row>
    <row r="360" customFormat="false" ht="15" hidden="false" customHeight="false" outlineLevel="0" collapsed="false">
      <c r="A360" s="4" t="s">
        <v>1910</v>
      </c>
      <c r="B360" s="4" t="s">
        <v>3942</v>
      </c>
      <c r="C360" s="4" t="s">
        <v>3923</v>
      </c>
      <c r="D360" s="4" t="s">
        <v>3937</v>
      </c>
      <c r="E360" s="7" t="n">
        <v>1</v>
      </c>
    </row>
    <row r="361" customFormat="false" ht="15" hidden="false" customHeight="false" outlineLevel="0" collapsed="false">
      <c r="A361" s="4" t="s">
        <v>1910</v>
      </c>
      <c r="B361" s="4" t="s">
        <v>3939</v>
      </c>
      <c r="C361" s="4" t="s">
        <v>3923</v>
      </c>
      <c r="D361" s="4" t="s">
        <v>3937</v>
      </c>
      <c r="E361" s="7" t="n">
        <v>3</v>
      </c>
    </row>
    <row r="362" customFormat="false" ht="15" hidden="false" customHeight="false" outlineLevel="0" collapsed="false">
      <c r="A362" s="4" t="s">
        <v>1916</v>
      </c>
      <c r="B362" s="4" t="s">
        <v>3939</v>
      </c>
      <c r="C362" s="4" t="s">
        <v>3923</v>
      </c>
      <c r="D362" s="4" t="s">
        <v>3924</v>
      </c>
      <c r="E362" s="7" t="n">
        <v>2</v>
      </c>
    </row>
    <row r="363" customFormat="false" ht="15" hidden="false" customHeight="false" outlineLevel="0" collapsed="false">
      <c r="A363" s="4" t="s">
        <v>1916</v>
      </c>
      <c r="B363" s="4" t="s">
        <v>3944</v>
      </c>
      <c r="C363" s="4" t="s">
        <v>3923</v>
      </c>
      <c r="D363" s="4" t="s">
        <v>3926</v>
      </c>
      <c r="E363" s="7" t="n">
        <v>4</v>
      </c>
    </row>
    <row r="364" customFormat="false" ht="15" hidden="false" customHeight="false" outlineLevel="0" collapsed="false">
      <c r="A364" s="4" t="s">
        <v>1932</v>
      </c>
      <c r="B364" s="4" t="s">
        <v>3927</v>
      </c>
      <c r="C364" s="4" t="s">
        <v>3923</v>
      </c>
      <c r="D364" s="4" t="s">
        <v>3926</v>
      </c>
      <c r="E364" s="7" t="n">
        <v>4</v>
      </c>
    </row>
    <row r="365" customFormat="false" ht="15" hidden="false" customHeight="false" outlineLevel="0" collapsed="false">
      <c r="A365" s="4" t="s">
        <v>1947</v>
      </c>
      <c r="B365" s="4" t="s">
        <v>3925</v>
      </c>
      <c r="C365" s="4" t="s">
        <v>3923</v>
      </c>
      <c r="D365" s="4" t="s">
        <v>3926</v>
      </c>
      <c r="E365" s="7" t="n">
        <v>2</v>
      </c>
    </row>
    <row r="366" customFormat="false" ht="15" hidden="false" customHeight="false" outlineLevel="0" collapsed="false">
      <c r="A366" s="4" t="s">
        <v>1947</v>
      </c>
      <c r="B366" s="4" t="s">
        <v>3932</v>
      </c>
      <c r="C366" s="4" t="s">
        <v>3923</v>
      </c>
      <c r="D366" s="4" t="s">
        <v>3933</v>
      </c>
      <c r="E366" s="7" t="n">
        <v>1</v>
      </c>
    </row>
    <row r="367" customFormat="false" ht="15" hidden="false" customHeight="false" outlineLevel="0" collapsed="false">
      <c r="A367" s="4" t="s">
        <v>1954</v>
      </c>
      <c r="B367" s="4" t="s">
        <v>3932</v>
      </c>
      <c r="C367" s="4" t="s">
        <v>3923</v>
      </c>
      <c r="D367" s="4" t="s">
        <v>3926</v>
      </c>
      <c r="E367" s="7" t="n">
        <v>1</v>
      </c>
    </row>
    <row r="368" customFormat="false" ht="15" hidden="false" customHeight="false" outlineLevel="0" collapsed="false">
      <c r="A368" s="4" t="s">
        <v>1954</v>
      </c>
      <c r="B368" s="4" t="s">
        <v>3940</v>
      </c>
      <c r="C368" s="4" t="s">
        <v>3923</v>
      </c>
      <c r="D368" s="4" t="s">
        <v>3926</v>
      </c>
      <c r="E368" s="7" t="n">
        <v>3</v>
      </c>
    </row>
    <row r="369" customFormat="false" ht="15" hidden="false" customHeight="false" outlineLevel="0" collapsed="false">
      <c r="A369" s="4" t="s">
        <v>1962</v>
      </c>
      <c r="B369" s="4" t="s">
        <v>3946</v>
      </c>
      <c r="C369" s="4" t="s">
        <v>3923</v>
      </c>
      <c r="D369" s="4" t="s">
        <v>3933</v>
      </c>
      <c r="E369" s="7" t="n">
        <v>4</v>
      </c>
    </row>
    <row r="370" customFormat="false" ht="15" hidden="false" customHeight="false" outlineLevel="0" collapsed="false">
      <c r="A370" s="4" t="s">
        <v>1962</v>
      </c>
      <c r="B370" s="4" t="s">
        <v>3941</v>
      </c>
      <c r="C370" s="4" t="s">
        <v>3923</v>
      </c>
      <c r="D370" s="4" t="s">
        <v>3926</v>
      </c>
      <c r="E370" s="7" t="n">
        <v>1</v>
      </c>
    </row>
    <row r="371" customFormat="false" ht="15" hidden="false" customHeight="false" outlineLevel="0" collapsed="false">
      <c r="A371" s="4" t="s">
        <v>1962</v>
      </c>
      <c r="B371" s="4" t="s">
        <v>3939</v>
      </c>
      <c r="C371" s="4" t="s">
        <v>3923</v>
      </c>
      <c r="D371" s="4" t="s">
        <v>3926</v>
      </c>
      <c r="E371" s="7" t="n">
        <v>2</v>
      </c>
    </row>
    <row r="372" customFormat="false" ht="15" hidden="false" customHeight="false" outlineLevel="0" collapsed="false">
      <c r="A372" s="4" t="s">
        <v>1969</v>
      </c>
      <c r="B372" s="4" t="s">
        <v>3946</v>
      </c>
      <c r="C372" s="4" t="s">
        <v>3923</v>
      </c>
      <c r="D372" s="4" t="s">
        <v>3924</v>
      </c>
      <c r="E372" s="7" t="n">
        <v>3</v>
      </c>
    </row>
    <row r="373" customFormat="false" ht="15" hidden="false" customHeight="false" outlineLevel="0" collapsed="false">
      <c r="A373" s="4" t="s">
        <v>1969</v>
      </c>
      <c r="B373" s="4" t="s">
        <v>3936</v>
      </c>
      <c r="C373" s="4" t="s">
        <v>3923</v>
      </c>
      <c r="D373" s="4" t="s">
        <v>3926</v>
      </c>
      <c r="E373" s="7" t="n">
        <v>3</v>
      </c>
    </row>
    <row r="374" customFormat="false" ht="15" hidden="false" customHeight="false" outlineLevel="0" collapsed="false">
      <c r="A374" s="4" t="s">
        <v>1969</v>
      </c>
      <c r="B374" s="4" t="s">
        <v>3945</v>
      </c>
      <c r="C374" s="4" t="s">
        <v>3923</v>
      </c>
      <c r="D374" s="4" t="s">
        <v>3935</v>
      </c>
      <c r="E374" s="7" t="n">
        <v>3</v>
      </c>
    </row>
    <row r="375" customFormat="false" ht="15" hidden="false" customHeight="false" outlineLevel="0" collapsed="false">
      <c r="A375" s="4" t="s">
        <v>1977</v>
      </c>
      <c r="B375" s="4" t="s">
        <v>3946</v>
      </c>
      <c r="C375" s="4" t="s">
        <v>3923</v>
      </c>
      <c r="D375" s="4" t="s">
        <v>3926</v>
      </c>
      <c r="E375" s="7" t="n">
        <v>1</v>
      </c>
    </row>
    <row r="376" customFormat="false" ht="15" hidden="false" customHeight="false" outlineLevel="0" collapsed="false">
      <c r="A376" s="4" t="s">
        <v>1977</v>
      </c>
      <c r="B376" s="4" t="s">
        <v>3938</v>
      </c>
      <c r="C376" s="4" t="s">
        <v>3923</v>
      </c>
      <c r="D376" s="4" t="s">
        <v>3926</v>
      </c>
      <c r="E376" s="7" t="n">
        <v>3</v>
      </c>
    </row>
    <row r="377" customFormat="false" ht="15" hidden="false" customHeight="false" outlineLevel="0" collapsed="false">
      <c r="A377" s="4" t="s">
        <v>1977</v>
      </c>
      <c r="B377" s="4" t="s">
        <v>3925</v>
      </c>
      <c r="C377" s="4" t="s">
        <v>3923</v>
      </c>
      <c r="D377" s="4" t="s">
        <v>3926</v>
      </c>
      <c r="E377" s="7" t="n">
        <v>4</v>
      </c>
    </row>
    <row r="378" customFormat="false" ht="15" hidden="false" customHeight="false" outlineLevel="0" collapsed="false">
      <c r="A378" s="4" t="s">
        <v>1985</v>
      </c>
      <c r="B378" s="4" t="s">
        <v>3941</v>
      </c>
      <c r="C378" s="4" t="s">
        <v>3923</v>
      </c>
      <c r="D378" s="4" t="s">
        <v>3926</v>
      </c>
      <c r="E378" s="7" t="n">
        <v>4</v>
      </c>
    </row>
    <row r="379" customFormat="false" ht="15" hidden="false" customHeight="false" outlineLevel="0" collapsed="false">
      <c r="A379" s="4" t="s">
        <v>1985</v>
      </c>
      <c r="B379" s="4" t="s">
        <v>3943</v>
      </c>
      <c r="C379" s="4" t="s">
        <v>3923</v>
      </c>
      <c r="D379" s="4" t="s">
        <v>3926</v>
      </c>
      <c r="E379" s="7" t="n">
        <v>2</v>
      </c>
    </row>
    <row r="380" customFormat="false" ht="15" hidden="false" customHeight="false" outlineLevel="0" collapsed="false">
      <c r="A380" s="4" t="s">
        <v>1993</v>
      </c>
      <c r="B380" s="4" t="s">
        <v>3946</v>
      </c>
      <c r="C380" s="4" t="s">
        <v>3923</v>
      </c>
      <c r="D380" s="4" t="s">
        <v>3926</v>
      </c>
      <c r="E380" s="7" t="n">
        <v>1</v>
      </c>
    </row>
    <row r="381" customFormat="false" ht="15" hidden="false" customHeight="false" outlineLevel="0" collapsed="false">
      <c r="A381" s="4" t="s">
        <v>1993</v>
      </c>
      <c r="B381" s="4" t="s">
        <v>3931</v>
      </c>
      <c r="C381" s="4" t="s">
        <v>3923</v>
      </c>
      <c r="D381" s="4" t="s">
        <v>3935</v>
      </c>
      <c r="E381" s="7" t="n">
        <v>4</v>
      </c>
    </row>
    <row r="382" customFormat="false" ht="15" hidden="false" customHeight="false" outlineLevel="0" collapsed="false">
      <c r="A382" s="4" t="s">
        <v>1993</v>
      </c>
      <c r="B382" s="4" t="s">
        <v>3941</v>
      </c>
      <c r="C382" s="4" t="s">
        <v>3923</v>
      </c>
      <c r="D382" s="4" t="s">
        <v>3933</v>
      </c>
      <c r="E382" s="7" t="n">
        <v>2</v>
      </c>
    </row>
    <row r="383" customFormat="false" ht="15" hidden="false" customHeight="false" outlineLevel="0" collapsed="false">
      <c r="A383" s="4" t="s">
        <v>2001</v>
      </c>
      <c r="B383" s="4" t="s">
        <v>3945</v>
      </c>
      <c r="C383" s="4" t="s">
        <v>3923</v>
      </c>
      <c r="D383" s="4" t="s">
        <v>3924</v>
      </c>
      <c r="E383" s="7" t="n">
        <v>1</v>
      </c>
    </row>
    <row r="384" customFormat="false" ht="15" hidden="false" customHeight="false" outlineLevel="0" collapsed="false">
      <c r="A384" s="4" t="s">
        <v>2016</v>
      </c>
      <c r="B384" s="4" t="s">
        <v>3922</v>
      </c>
      <c r="C384" s="4" t="s">
        <v>3923</v>
      </c>
      <c r="D384" s="4" t="s">
        <v>3935</v>
      </c>
      <c r="E384" s="7" t="n">
        <v>2</v>
      </c>
    </row>
    <row r="385" customFormat="false" ht="15" hidden="false" customHeight="false" outlineLevel="0" collapsed="false">
      <c r="A385" s="4" t="s">
        <v>2016</v>
      </c>
      <c r="B385" s="4" t="s">
        <v>3941</v>
      </c>
      <c r="C385" s="4" t="s">
        <v>3923</v>
      </c>
      <c r="D385" s="4" t="s">
        <v>3937</v>
      </c>
      <c r="E385" s="7" t="n">
        <v>4</v>
      </c>
    </row>
    <row r="386" customFormat="false" ht="15" hidden="false" customHeight="false" outlineLevel="0" collapsed="false">
      <c r="A386" s="4" t="s">
        <v>2024</v>
      </c>
      <c r="B386" s="4" t="s">
        <v>3943</v>
      </c>
      <c r="C386" s="4" t="s">
        <v>3923</v>
      </c>
      <c r="D386" s="4" t="s">
        <v>3928</v>
      </c>
      <c r="E386" s="7" t="n">
        <v>4</v>
      </c>
    </row>
    <row r="387" customFormat="false" ht="15" hidden="false" customHeight="false" outlineLevel="0" collapsed="false">
      <c r="A387" s="4" t="s">
        <v>2032</v>
      </c>
      <c r="B387" s="4" t="s">
        <v>3946</v>
      </c>
      <c r="C387" s="4" t="s">
        <v>3923</v>
      </c>
      <c r="D387" s="4" t="s">
        <v>3937</v>
      </c>
      <c r="E387" s="7" t="n">
        <v>4</v>
      </c>
    </row>
    <row r="388" customFormat="false" ht="15" hidden="false" customHeight="false" outlineLevel="0" collapsed="false">
      <c r="A388" s="4" t="s">
        <v>2039</v>
      </c>
      <c r="B388" s="4" t="s">
        <v>3931</v>
      </c>
      <c r="C388" s="4" t="s">
        <v>3923</v>
      </c>
      <c r="D388" s="4" t="s">
        <v>3926</v>
      </c>
      <c r="E388" s="7" t="n">
        <v>4</v>
      </c>
    </row>
    <row r="389" customFormat="false" ht="15" hidden="false" customHeight="false" outlineLevel="0" collapsed="false">
      <c r="A389" s="4" t="s">
        <v>2047</v>
      </c>
      <c r="B389" s="4" t="s">
        <v>3944</v>
      </c>
      <c r="C389" s="4" t="s">
        <v>3923</v>
      </c>
      <c r="D389" s="4" t="s">
        <v>3926</v>
      </c>
      <c r="E389" s="7" t="n">
        <v>1</v>
      </c>
    </row>
    <row r="390" customFormat="false" ht="15" hidden="false" customHeight="false" outlineLevel="0" collapsed="false">
      <c r="A390" s="4" t="s">
        <v>2055</v>
      </c>
      <c r="B390" s="4" t="s">
        <v>3936</v>
      </c>
      <c r="C390" s="4" t="s">
        <v>3923</v>
      </c>
      <c r="D390" s="4" t="s">
        <v>3935</v>
      </c>
      <c r="E390" s="7" t="n">
        <v>3</v>
      </c>
    </row>
    <row r="391" customFormat="false" ht="15" hidden="false" customHeight="false" outlineLevel="0" collapsed="false">
      <c r="A391" s="4" t="s">
        <v>2055</v>
      </c>
      <c r="B391" s="4" t="s">
        <v>3946</v>
      </c>
      <c r="C391" s="4" t="s">
        <v>3923</v>
      </c>
      <c r="D391" s="4" t="s">
        <v>3926</v>
      </c>
      <c r="E391" s="7" t="n">
        <v>4</v>
      </c>
    </row>
    <row r="392" customFormat="false" ht="15" hidden="false" customHeight="false" outlineLevel="0" collapsed="false">
      <c r="A392" s="4" t="s">
        <v>2063</v>
      </c>
      <c r="B392" s="4" t="s">
        <v>3945</v>
      </c>
      <c r="C392" s="4" t="s">
        <v>3923</v>
      </c>
      <c r="D392" s="4" t="s">
        <v>3935</v>
      </c>
      <c r="E392" s="7" t="n">
        <v>1</v>
      </c>
    </row>
    <row r="393" customFormat="false" ht="15" hidden="false" customHeight="false" outlineLevel="0" collapsed="false">
      <c r="A393" s="4" t="s">
        <v>2071</v>
      </c>
      <c r="B393" s="4" t="s">
        <v>3929</v>
      </c>
      <c r="C393" s="4" t="s">
        <v>3923</v>
      </c>
      <c r="D393" s="4" t="s">
        <v>3926</v>
      </c>
      <c r="E393" s="7" t="n">
        <v>1</v>
      </c>
    </row>
    <row r="394" customFormat="false" ht="15" hidden="false" customHeight="false" outlineLevel="0" collapsed="false">
      <c r="A394" s="4" t="s">
        <v>2085</v>
      </c>
      <c r="B394" s="4" t="s">
        <v>3934</v>
      </c>
      <c r="C394" s="4" t="s">
        <v>3923</v>
      </c>
      <c r="D394" s="4" t="s">
        <v>3926</v>
      </c>
      <c r="E394" s="7" t="n">
        <v>4</v>
      </c>
    </row>
    <row r="395" customFormat="false" ht="15" hidden="false" customHeight="false" outlineLevel="0" collapsed="false">
      <c r="A395" s="4" t="s">
        <v>2085</v>
      </c>
      <c r="B395" s="4" t="s">
        <v>3943</v>
      </c>
      <c r="C395" s="4" t="s">
        <v>3923</v>
      </c>
      <c r="D395" s="4" t="s">
        <v>3937</v>
      </c>
      <c r="E395" s="7" t="n">
        <v>1</v>
      </c>
    </row>
    <row r="396" customFormat="false" ht="15" hidden="false" customHeight="false" outlineLevel="0" collapsed="false">
      <c r="A396" s="4" t="s">
        <v>2093</v>
      </c>
      <c r="B396" s="4" t="s">
        <v>3929</v>
      </c>
      <c r="C396" s="4" t="s">
        <v>3923</v>
      </c>
      <c r="D396" s="4" t="s">
        <v>3926</v>
      </c>
      <c r="E396" s="7" t="n">
        <v>4</v>
      </c>
    </row>
    <row r="397" customFormat="false" ht="15" hidden="false" customHeight="false" outlineLevel="0" collapsed="false">
      <c r="A397" s="4" t="s">
        <v>2100</v>
      </c>
      <c r="B397" s="4" t="s">
        <v>3930</v>
      </c>
      <c r="C397" s="4" t="s">
        <v>3923</v>
      </c>
      <c r="D397" s="4" t="s">
        <v>3926</v>
      </c>
      <c r="E397" s="7" t="n">
        <v>3</v>
      </c>
    </row>
    <row r="398" customFormat="false" ht="15" hidden="false" customHeight="false" outlineLevel="0" collapsed="false">
      <c r="A398" s="4" t="s">
        <v>2100</v>
      </c>
      <c r="B398" s="4" t="s">
        <v>3934</v>
      </c>
      <c r="C398" s="4" t="s">
        <v>3923</v>
      </c>
      <c r="D398" s="4" t="s">
        <v>3935</v>
      </c>
      <c r="E398" s="7" t="n">
        <v>1</v>
      </c>
    </row>
    <row r="399" customFormat="false" ht="15" hidden="false" customHeight="false" outlineLevel="0" collapsed="false">
      <c r="A399" s="4" t="s">
        <v>2100</v>
      </c>
      <c r="B399" s="4" t="s">
        <v>3925</v>
      </c>
      <c r="C399" s="4" t="s">
        <v>3923</v>
      </c>
      <c r="D399" s="4" t="s">
        <v>3935</v>
      </c>
      <c r="E399" s="7" t="n">
        <v>1</v>
      </c>
    </row>
    <row r="400" customFormat="false" ht="15" hidden="false" customHeight="false" outlineLevel="0" collapsed="false">
      <c r="A400" s="4" t="s">
        <v>2107</v>
      </c>
      <c r="B400" s="4" t="s">
        <v>3942</v>
      </c>
      <c r="C400" s="4" t="s">
        <v>3923</v>
      </c>
      <c r="D400" s="4" t="s">
        <v>3937</v>
      </c>
      <c r="E400" s="7" t="n">
        <v>2</v>
      </c>
    </row>
    <row r="401" customFormat="false" ht="15" hidden="false" customHeight="false" outlineLevel="0" collapsed="false">
      <c r="A401" s="4" t="s">
        <v>2107</v>
      </c>
      <c r="B401" s="4" t="s">
        <v>3932</v>
      </c>
      <c r="C401" s="4" t="s">
        <v>3923</v>
      </c>
      <c r="D401" s="4" t="s">
        <v>3926</v>
      </c>
      <c r="E401" s="7" t="n">
        <v>1</v>
      </c>
    </row>
    <row r="402" customFormat="false" ht="15" hidden="false" customHeight="false" outlineLevel="0" collapsed="false">
      <c r="A402" s="4" t="s">
        <v>2115</v>
      </c>
      <c r="B402" s="4" t="s">
        <v>3925</v>
      </c>
      <c r="C402" s="4" t="s">
        <v>3923</v>
      </c>
      <c r="D402" s="4" t="s">
        <v>3924</v>
      </c>
      <c r="E402" s="7" t="n">
        <v>3</v>
      </c>
    </row>
    <row r="403" customFormat="false" ht="15" hidden="false" customHeight="false" outlineLevel="0" collapsed="false">
      <c r="A403" s="4" t="s">
        <v>2123</v>
      </c>
      <c r="B403" s="4" t="s">
        <v>3946</v>
      </c>
      <c r="C403" s="4" t="s">
        <v>3923</v>
      </c>
      <c r="D403" s="4" t="s">
        <v>3926</v>
      </c>
      <c r="E403" s="7" t="n">
        <v>2</v>
      </c>
    </row>
    <row r="404" customFormat="false" ht="15" hidden="false" customHeight="false" outlineLevel="0" collapsed="false">
      <c r="A404" s="4" t="s">
        <v>2131</v>
      </c>
      <c r="B404" s="4" t="s">
        <v>3934</v>
      </c>
      <c r="C404" s="4" t="s">
        <v>3923</v>
      </c>
      <c r="D404" s="4" t="s">
        <v>3935</v>
      </c>
      <c r="E404" s="7" t="n">
        <v>3</v>
      </c>
    </row>
    <row r="405" customFormat="false" ht="15" hidden="false" customHeight="false" outlineLevel="0" collapsed="false">
      <c r="A405" s="4" t="s">
        <v>2139</v>
      </c>
      <c r="B405" s="4" t="s">
        <v>3932</v>
      </c>
      <c r="C405" s="4" t="s">
        <v>3923</v>
      </c>
      <c r="D405" s="4" t="s">
        <v>3933</v>
      </c>
      <c r="E405" s="7" t="n">
        <v>4</v>
      </c>
    </row>
    <row r="406" customFormat="false" ht="15" hidden="false" customHeight="false" outlineLevel="0" collapsed="false">
      <c r="A406" s="4" t="s">
        <v>2139</v>
      </c>
      <c r="B406" s="4" t="s">
        <v>3940</v>
      </c>
      <c r="C406" s="4" t="s">
        <v>3923</v>
      </c>
      <c r="D406" s="4" t="s">
        <v>3935</v>
      </c>
      <c r="E406" s="7" t="n">
        <v>4</v>
      </c>
    </row>
    <row r="407" customFormat="false" ht="15" hidden="false" customHeight="false" outlineLevel="0" collapsed="false">
      <c r="A407" s="4" t="s">
        <v>2139</v>
      </c>
      <c r="B407" s="4" t="s">
        <v>3943</v>
      </c>
      <c r="C407" s="4" t="s">
        <v>3923</v>
      </c>
      <c r="D407" s="4" t="s">
        <v>3926</v>
      </c>
      <c r="E407" s="7" t="n">
        <v>3</v>
      </c>
    </row>
    <row r="408" customFormat="false" ht="15" hidden="false" customHeight="false" outlineLevel="0" collapsed="false">
      <c r="A408" s="4" t="s">
        <v>2146</v>
      </c>
      <c r="B408" s="4" t="s">
        <v>3922</v>
      </c>
      <c r="C408" s="4" t="s">
        <v>3923</v>
      </c>
      <c r="D408" s="4" t="s">
        <v>3926</v>
      </c>
      <c r="E408" s="7" t="n">
        <v>2</v>
      </c>
    </row>
    <row r="409" customFormat="false" ht="15" hidden="false" customHeight="false" outlineLevel="0" collapsed="false">
      <c r="A409" s="4" t="s">
        <v>2146</v>
      </c>
      <c r="B409" s="4" t="s">
        <v>3941</v>
      </c>
      <c r="C409" s="4" t="s">
        <v>3923</v>
      </c>
      <c r="D409" s="4" t="s">
        <v>3926</v>
      </c>
      <c r="E409" s="7" t="n">
        <v>1</v>
      </c>
    </row>
    <row r="410" customFormat="false" ht="15" hidden="false" customHeight="false" outlineLevel="0" collapsed="false">
      <c r="A410" s="4" t="s">
        <v>2169</v>
      </c>
      <c r="B410" s="4" t="s">
        <v>3943</v>
      </c>
      <c r="C410" s="4" t="s">
        <v>3923</v>
      </c>
      <c r="D410" s="4" t="s">
        <v>3935</v>
      </c>
      <c r="E410" s="7" t="n">
        <v>1</v>
      </c>
    </row>
    <row r="411" customFormat="false" ht="15" hidden="false" customHeight="false" outlineLevel="0" collapsed="false">
      <c r="A411" s="4" t="s">
        <v>2169</v>
      </c>
      <c r="B411" s="4" t="s">
        <v>3944</v>
      </c>
      <c r="C411" s="4" t="s">
        <v>3923</v>
      </c>
      <c r="D411" s="4" t="s">
        <v>3933</v>
      </c>
      <c r="E411" s="7" t="n">
        <v>4</v>
      </c>
    </row>
    <row r="412" customFormat="false" ht="15" hidden="false" customHeight="false" outlineLevel="0" collapsed="false">
      <c r="A412" s="4" t="s">
        <v>2177</v>
      </c>
      <c r="B412" s="4" t="s">
        <v>3932</v>
      </c>
      <c r="C412" s="4" t="s">
        <v>3923</v>
      </c>
      <c r="D412" s="4" t="s">
        <v>3928</v>
      </c>
      <c r="E412" s="7" t="n">
        <v>4</v>
      </c>
    </row>
    <row r="413" customFormat="false" ht="15" hidden="false" customHeight="false" outlineLevel="0" collapsed="false">
      <c r="A413" s="4" t="s">
        <v>2177</v>
      </c>
      <c r="B413" s="4" t="s">
        <v>3945</v>
      </c>
      <c r="C413" s="4" t="s">
        <v>3923</v>
      </c>
      <c r="D413" s="4" t="s">
        <v>3926</v>
      </c>
      <c r="E413" s="7" t="n">
        <v>4</v>
      </c>
    </row>
    <row r="414" customFormat="false" ht="15" hidden="false" customHeight="false" outlineLevel="0" collapsed="false">
      <c r="A414" s="4" t="s">
        <v>2184</v>
      </c>
      <c r="B414" s="4" t="s">
        <v>3944</v>
      </c>
      <c r="C414" s="4" t="s">
        <v>3923</v>
      </c>
      <c r="D414" s="4" t="s">
        <v>3935</v>
      </c>
      <c r="E414" s="7" t="n">
        <v>2</v>
      </c>
    </row>
    <row r="415" customFormat="false" ht="15" hidden="false" customHeight="false" outlineLevel="0" collapsed="false">
      <c r="A415" s="4" t="s">
        <v>2192</v>
      </c>
      <c r="B415" s="4" t="s">
        <v>3922</v>
      </c>
      <c r="C415" s="4" t="s">
        <v>3923</v>
      </c>
      <c r="D415" s="4" t="s">
        <v>3928</v>
      </c>
      <c r="E415" s="7" t="n">
        <v>4</v>
      </c>
    </row>
    <row r="416" customFormat="false" ht="15" hidden="false" customHeight="false" outlineLevel="0" collapsed="false">
      <c r="A416" s="4" t="s">
        <v>2200</v>
      </c>
      <c r="B416" s="4" t="s">
        <v>3925</v>
      </c>
      <c r="C416" s="4" t="s">
        <v>3923</v>
      </c>
      <c r="D416" s="4" t="s">
        <v>3926</v>
      </c>
      <c r="E416" s="7" t="n">
        <v>1</v>
      </c>
    </row>
    <row r="417" customFormat="false" ht="15" hidden="false" customHeight="false" outlineLevel="0" collapsed="false">
      <c r="A417" s="4" t="s">
        <v>2200</v>
      </c>
      <c r="B417" s="4" t="s">
        <v>3927</v>
      </c>
      <c r="C417" s="4" t="s">
        <v>3923</v>
      </c>
      <c r="D417" s="4" t="s">
        <v>3933</v>
      </c>
      <c r="E417" s="7" t="n">
        <v>4</v>
      </c>
    </row>
    <row r="418" customFormat="false" ht="15" hidden="false" customHeight="false" outlineLevel="0" collapsed="false">
      <c r="A418" s="4" t="s">
        <v>2208</v>
      </c>
      <c r="B418" s="4" t="s">
        <v>3932</v>
      </c>
      <c r="C418" s="4" t="s">
        <v>3923</v>
      </c>
      <c r="D418" s="4" t="s">
        <v>3933</v>
      </c>
      <c r="E418" s="7" t="n">
        <v>1</v>
      </c>
    </row>
    <row r="419" customFormat="false" ht="15" hidden="false" customHeight="false" outlineLevel="0" collapsed="false">
      <c r="A419" s="4" t="s">
        <v>2216</v>
      </c>
      <c r="B419" s="4" t="s">
        <v>3927</v>
      </c>
      <c r="C419" s="4" t="s">
        <v>3923</v>
      </c>
      <c r="D419" s="4" t="s">
        <v>3926</v>
      </c>
      <c r="E419" s="7" t="n">
        <v>3</v>
      </c>
    </row>
    <row r="420" customFormat="false" ht="15" hidden="false" customHeight="false" outlineLevel="0" collapsed="false">
      <c r="A420" s="4" t="s">
        <v>2216</v>
      </c>
      <c r="B420" s="4" t="s">
        <v>3930</v>
      </c>
      <c r="C420" s="4" t="s">
        <v>3923</v>
      </c>
      <c r="D420" s="4" t="s">
        <v>3933</v>
      </c>
      <c r="E420" s="7" t="n">
        <v>4</v>
      </c>
    </row>
    <row r="421" customFormat="false" ht="15" hidden="false" customHeight="false" outlineLevel="0" collapsed="false">
      <c r="A421" s="4" t="s">
        <v>2223</v>
      </c>
      <c r="B421" s="4" t="s">
        <v>3930</v>
      </c>
      <c r="C421" s="4" t="s">
        <v>3923</v>
      </c>
      <c r="D421" s="4" t="s">
        <v>3926</v>
      </c>
      <c r="E421" s="7" t="n">
        <v>1</v>
      </c>
    </row>
    <row r="422" customFormat="false" ht="15" hidden="false" customHeight="false" outlineLevel="0" collapsed="false">
      <c r="A422" s="4" t="s">
        <v>2223</v>
      </c>
      <c r="B422" s="4" t="s">
        <v>3946</v>
      </c>
      <c r="C422" s="4" t="s">
        <v>3923</v>
      </c>
      <c r="D422" s="4" t="s">
        <v>3933</v>
      </c>
      <c r="E422" s="7" t="n">
        <v>1</v>
      </c>
    </row>
    <row r="423" customFormat="false" ht="15" hidden="false" customHeight="false" outlineLevel="0" collapsed="false">
      <c r="A423" s="4" t="s">
        <v>2230</v>
      </c>
      <c r="B423" s="4" t="s">
        <v>3939</v>
      </c>
      <c r="C423" s="4" t="s">
        <v>3923</v>
      </c>
      <c r="D423" s="4" t="s">
        <v>3935</v>
      </c>
      <c r="E423" s="7" t="n">
        <v>4</v>
      </c>
    </row>
    <row r="424" customFormat="false" ht="15" hidden="false" customHeight="false" outlineLevel="0" collapsed="false">
      <c r="A424" s="4" t="s">
        <v>2238</v>
      </c>
      <c r="B424" s="4" t="s">
        <v>3942</v>
      </c>
      <c r="C424" s="4" t="s">
        <v>3923</v>
      </c>
      <c r="D424" s="4" t="s">
        <v>3926</v>
      </c>
      <c r="E424" s="7" t="n">
        <v>1</v>
      </c>
    </row>
    <row r="425" customFormat="false" ht="15" hidden="false" customHeight="false" outlineLevel="0" collapsed="false">
      <c r="A425" s="4" t="s">
        <v>2246</v>
      </c>
      <c r="B425" s="4" t="s">
        <v>3931</v>
      </c>
      <c r="C425" s="4" t="s">
        <v>3923</v>
      </c>
      <c r="D425" s="4" t="s">
        <v>3926</v>
      </c>
      <c r="E425" s="7" t="n">
        <v>1</v>
      </c>
    </row>
    <row r="426" customFormat="false" ht="15" hidden="false" customHeight="false" outlineLevel="0" collapsed="false">
      <c r="A426" s="4" t="s">
        <v>2246</v>
      </c>
      <c r="B426" s="4" t="s">
        <v>3939</v>
      </c>
      <c r="C426" s="4" t="s">
        <v>3923</v>
      </c>
      <c r="D426" s="4" t="s">
        <v>3937</v>
      </c>
      <c r="E426" s="7" t="n">
        <v>1</v>
      </c>
    </row>
    <row r="427" customFormat="false" ht="15" hidden="false" customHeight="false" outlineLevel="0" collapsed="false">
      <c r="A427" s="4" t="s">
        <v>2246</v>
      </c>
      <c r="B427" s="4" t="s">
        <v>3940</v>
      </c>
      <c r="C427" s="4" t="s">
        <v>3923</v>
      </c>
      <c r="D427" s="4" t="s">
        <v>3928</v>
      </c>
      <c r="E427" s="7" t="n">
        <v>1</v>
      </c>
    </row>
    <row r="428" customFormat="false" ht="15" hidden="false" customHeight="false" outlineLevel="0" collapsed="false">
      <c r="A428" s="4" t="s">
        <v>2253</v>
      </c>
      <c r="B428" s="4" t="s">
        <v>3932</v>
      </c>
      <c r="C428" s="4" t="s">
        <v>3923</v>
      </c>
      <c r="D428" s="4" t="s">
        <v>3926</v>
      </c>
      <c r="E428" s="7" t="n">
        <v>2</v>
      </c>
    </row>
    <row r="429" customFormat="false" ht="15" hidden="false" customHeight="false" outlineLevel="0" collapsed="false">
      <c r="A429" s="4" t="s">
        <v>2253</v>
      </c>
      <c r="B429" s="4" t="s">
        <v>3931</v>
      </c>
      <c r="C429" s="4" t="s">
        <v>3923</v>
      </c>
      <c r="D429" s="4" t="s">
        <v>3935</v>
      </c>
      <c r="E429" s="7" t="n">
        <v>3</v>
      </c>
    </row>
    <row r="430" customFormat="false" ht="15" hidden="false" customHeight="false" outlineLevel="0" collapsed="false">
      <c r="A430" s="4" t="s">
        <v>2268</v>
      </c>
      <c r="B430" s="4" t="s">
        <v>3941</v>
      </c>
      <c r="C430" s="4" t="s">
        <v>3923</v>
      </c>
      <c r="D430" s="4" t="s">
        <v>3935</v>
      </c>
      <c r="E430" s="7" t="n">
        <v>2</v>
      </c>
    </row>
    <row r="431" customFormat="false" ht="15" hidden="false" customHeight="false" outlineLevel="0" collapsed="false">
      <c r="A431" s="4" t="s">
        <v>2268</v>
      </c>
      <c r="B431" s="4" t="s">
        <v>3943</v>
      </c>
      <c r="C431" s="4" t="s">
        <v>3923</v>
      </c>
      <c r="D431" s="4" t="s">
        <v>3926</v>
      </c>
      <c r="E431" s="7" t="n">
        <v>1</v>
      </c>
    </row>
    <row r="432" customFormat="false" ht="15" hidden="false" customHeight="false" outlineLevel="0" collapsed="false">
      <c r="A432" s="4" t="s">
        <v>2284</v>
      </c>
      <c r="B432" s="4" t="s">
        <v>3934</v>
      </c>
      <c r="C432" s="4" t="s">
        <v>3923</v>
      </c>
      <c r="D432" s="4" t="s">
        <v>3926</v>
      </c>
      <c r="E432" s="7" t="n">
        <v>4</v>
      </c>
    </row>
    <row r="433" customFormat="false" ht="15" hidden="false" customHeight="false" outlineLevel="0" collapsed="false">
      <c r="A433" s="4" t="s">
        <v>2284</v>
      </c>
      <c r="B433" s="4" t="s">
        <v>3929</v>
      </c>
      <c r="C433" s="4" t="s">
        <v>3923</v>
      </c>
      <c r="D433" s="4" t="s">
        <v>3935</v>
      </c>
      <c r="E433" s="7" t="n">
        <v>3</v>
      </c>
    </row>
    <row r="434" customFormat="false" ht="15" hidden="false" customHeight="false" outlineLevel="0" collapsed="false">
      <c r="A434" s="4" t="s">
        <v>2300</v>
      </c>
      <c r="B434" s="4" t="s">
        <v>3925</v>
      </c>
      <c r="C434" s="4" t="s">
        <v>3923</v>
      </c>
      <c r="D434" s="4" t="s">
        <v>3926</v>
      </c>
      <c r="E434" s="7" t="n">
        <v>4</v>
      </c>
    </row>
    <row r="435" customFormat="false" ht="15" hidden="false" customHeight="false" outlineLevel="0" collapsed="false">
      <c r="A435" s="4" t="s">
        <v>2308</v>
      </c>
      <c r="B435" s="4" t="s">
        <v>3925</v>
      </c>
      <c r="C435" s="4" t="s">
        <v>3923</v>
      </c>
      <c r="D435" s="4" t="s">
        <v>3926</v>
      </c>
      <c r="E435" s="7" t="n">
        <v>2</v>
      </c>
    </row>
    <row r="436" customFormat="false" ht="15" hidden="false" customHeight="false" outlineLevel="0" collapsed="false">
      <c r="A436" s="4" t="s">
        <v>2316</v>
      </c>
      <c r="B436" s="4" t="s">
        <v>3931</v>
      </c>
      <c r="C436" s="4" t="s">
        <v>3923</v>
      </c>
      <c r="D436" s="4" t="s">
        <v>3937</v>
      </c>
      <c r="E436" s="7" t="n">
        <v>2</v>
      </c>
    </row>
    <row r="437" customFormat="false" ht="15" hidden="false" customHeight="false" outlineLevel="0" collapsed="false">
      <c r="A437" s="4" t="s">
        <v>2316</v>
      </c>
      <c r="B437" s="4" t="s">
        <v>3944</v>
      </c>
      <c r="C437" s="4" t="s">
        <v>3923</v>
      </c>
      <c r="D437" s="4" t="s">
        <v>3926</v>
      </c>
      <c r="E437" s="7" t="n">
        <v>4</v>
      </c>
    </row>
    <row r="438" customFormat="false" ht="15" hidden="false" customHeight="false" outlineLevel="0" collapsed="false">
      <c r="A438" s="4" t="s">
        <v>2324</v>
      </c>
      <c r="B438" s="4" t="s">
        <v>3939</v>
      </c>
      <c r="C438" s="4" t="s">
        <v>3923</v>
      </c>
      <c r="D438" s="4" t="s">
        <v>3926</v>
      </c>
      <c r="E438" s="7" t="n">
        <v>2</v>
      </c>
    </row>
    <row r="439" customFormat="false" ht="15" hidden="false" customHeight="false" outlineLevel="0" collapsed="false">
      <c r="A439" s="4" t="s">
        <v>2346</v>
      </c>
      <c r="B439" s="4" t="s">
        <v>3940</v>
      </c>
      <c r="C439" s="4" t="s">
        <v>3923</v>
      </c>
      <c r="D439" s="4" t="s">
        <v>3926</v>
      </c>
      <c r="E439" s="7" t="n">
        <v>2</v>
      </c>
    </row>
    <row r="440" customFormat="false" ht="15" hidden="false" customHeight="false" outlineLevel="0" collapsed="false">
      <c r="A440" s="4" t="s">
        <v>2354</v>
      </c>
      <c r="B440" s="4" t="s">
        <v>3946</v>
      </c>
      <c r="C440" s="4" t="s">
        <v>3923</v>
      </c>
      <c r="D440" s="4" t="s">
        <v>3926</v>
      </c>
      <c r="E440" s="7" t="n">
        <v>3</v>
      </c>
    </row>
    <row r="441" customFormat="false" ht="15" hidden="false" customHeight="false" outlineLevel="0" collapsed="false">
      <c r="A441" s="4" t="s">
        <v>2354</v>
      </c>
      <c r="B441" s="4" t="s">
        <v>3925</v>
      </c>
      <c r="C441" s="4" t="s">
        <v>3923</v>
      </c>
      <c r="D441" s="4" t="s">
        <v>3937</v>
      </c>
      <c r="E441" s="7" t="n">
        <v>2</v>
      </c>
    </row>
    <row r="442" customFormat="false" ht="15" hidden="false" customHeight="false" outlineLevel="0" collapsed="false">
      <c r="A442" s="4" t="s">
        <v>2362</v>
      </c>
      <c r="B442" s="4" t="s">
        <v>3944</v>
      </c>
      <c r="C442" s="4" t="s">
        <v>3923</v>
      </c>
      <c r="D442" s="4" t="s">
        <v>3926</v>
      </c>
      <c r="E442" s="7" t="n">
        <v>1</v>
      </c>
    </row>
    <row r="443" customFormat="false" ht="15" hidden="false" customHeight="false" outlineLevel="0" collapsed="false">
      <c r="A443" s="4" t="s">
        <v>2370</v>
      </c>
      <c r="B443" s="4" t="s">
        <v>3944</v>
      </c>
      <c r="C443" s="4" t="s">
        <v>3923</v>
      </c>
      <c r="D443" s="4" t="s">
        <v>3926</v>
      </c>
      <c r="E443" s="7" t="n">
        <v>3</v>
      </c>
    </row>
    <row r="444" customFormat="false" ht="15" hidden="false" customHeight="false" outlineLevel="0" collapsed="false">
      <c r="A444" s="4" t="s">
        <v>2370</v>
      </c>
      <c r="B444" s="4" t="s">
        <v>3946</v>
      </c>
      <c r="C444" s="4" t="s">
        <v>3923</v>
      </c>
      <c r="D444" s="4" t="s">
        <v>3924</v>
      </c>
      <c r="E444" s="7" t="n">
        <v>2</v>
      </c>
    </row>
    <row r="445" customFormat="false" ht="15" hidden="false" customHeight="false" outlineLevel="0" collapsed="false">
      <c r="A445" s="4" t="s">
        <v>2378</v>
      </c>
      <c r="B445" s="4" t="s">
        <v>3930</v>
      </c>
      <c r="C445" s="4" t="s">
        <v>3923</v>
      </c>
      <c r="D445" s="4" t="s">
        <v>3935</v>
      </c>
      <c r="E445" s="7" t="n">
        <v>3</v>
      </c>
    </row>
    <row r="446" customFormat="false" ht="15" hidden="false" customHeight="false" outlineLevel="0" collapsed="false">
      <c r="A446" s="4" t="s">
        <v>2378</v>
      </c>
      <c r="B446" s="4" t="s">
        <v>3922</v>
      </c>
      <c r="C446" s="4" t="s">
        <v>3923</v>
      </c>
      <c r="D446" s="4" t="s">
        <v>3933</v>
      </c>
      <c r="E446" s="7" t="n">
        <v>2</v>
      </c>
    </row>
    <row r="447" customFormat="false" ht="15" hidden="false" customHeight="false" outlineLevel="0" collapsed="false">
      <c r="A447" s="4" t="s">
        <v>2378</v>
      </c>
      <c r="B447" s="4" t="s">
        <v>3927</v>
      </c>
      <c r="C447" s="4" t="s">
        <v>3923</v>
      </c>
      <c r="D447" s="4" t="s">
        <v>3924</v>
      </c>
      <c r="E447" s="7" t="n">
        <v>3</v>
      </c>
    </row>
    <row r="448" customFormat="false" ht="15" hidden="false" customHeight="false" outlineLevel="0" collapsed="false">
      <c r="A448" s="4" t="s">
        <v>2385</v>
      </c>
      <c r="B448" s="4" t="s">
        <v>3940</v>
      </c>
      <c r="C448" s="4" t="s">
        <v>3923</v>
      </c>
      <c r="D448" s="4" t="s">
        <v>3926</v>
      </c>
      <c r="E448" s="7" t="n">
        <v>3</v>
      </c>
    </row>
    <row r="449" customFormat="false" ht="15" hidden="false" customHeight="false" outlineLevel="0" collapsed="false">
      <c r="A449" s="4" t="s">
        <v>2385</v>
      </c>
      <c r="B449" s="4" t="s">
        <v>3939</v>
      </c>
      <c r="C449" s="4" t="s">
        <v>3923</v>
      </c>
      <c r="D449" s="4" t="s">
        <v>3926</v>
      </c>
      <c r="E449" s="7" t="n">
        <v>4</v>
      </c>
    </row>
    <row r="450" customFormat="false" ht="15" hidden="false" customHeight="false" outlineLevel="0" collapsed="false">
      <c r="A450" s="4" t="s">
        <v>2385</v>
      </c>
      <c r="B450" s="4" t="s">
        <v>3936</v>
      </c>
      <c r="C450" s="4" t="s">
        <v>3923</v>
      </c>
      <c r="D450" s="4" t="s">
        <v>3935</v>
      </c>
      <c r="E450" s="7" t="n">
        <v>4</v>
      </c>
    </row>
    <row r="451" customFormat="false" ht="15" hidden="false" customHeight="false" outlineLevel="0" collapsed="false">
      <c r="A451" s="4" t="s">
        <v>2393</v>
      </c>
      <c r="B451" s="4" t="s">
        <v>3939</v>
      </c>
      <c r="C451" s="4" t="s">
        <v>3923</v>
      </c>
      <c r="D451" s="4" t="s">
        <v>3926</v>
      </c>
      <c r="E451" s="7" t="n">
        <v>2</v>
      </c>
    </row>
    <row r="452" customFormat="false" ht="15" hidden="false" customHeight="false" outlineLevel="0" collapsed="false">
      <c r="A452" s="4" t="s">
        <v>2393</v>
      </c>
      <c r="B452" s="4" t="s">
        <v>3930</v>
      </c>
      <c r="C452" s="4" t="s">
        <v>3923</v>
      </c>
      <c r="D452" s="4" t="s">
        <v>3926</v>
      </c>
      <c r="E452" s="7" t="n">
        <v>4</v>
      </c>
    </row>
    <row r="453" customFormat="false" ht="15" hidden="false" customHeight="false" outlineLevel="0" collapsed="false">
      <c r="A453" s="4" t="s">
        <v>2401</v>
      </c>
      <c r="B453" s="4" t="s">
        <v>3938</v>
      </c>
      <c r="C453" s="4" t="s">
        <v>3923</v>
      </c>
      <c r="D453" s="4" t="s">
        <v>3924</v>
      </c>
      <c r="E453" s="7" t="n">
        <v>3</v>
      </c>
    </row>
    <row r="454" customFormat="false" ht="15" hidden="false" customHeight="false" outlineLevel="0" collapsed="false">
      <c r="A454" s="4" t="s">
        <v>2401</v>
      </c>
      <c r="B454" s="4" t="s">
        <v>3939</v>
      </c>
      <c r="C454" s="4" t="s">
        <v>3923</v>
      </c>
      <c r="D454" s="4" t="s">
        <v>3935</v>
      </c>
      <c r="E454" s="7" t="n">
        <v>1</v>
      </c>
    </row>
    <row r="455" customFormat="false" ht="15" hidden="false" customHeight="false" outlineLevel="0" collapsed="false">
      <c r="A455" s="4" t="s">
        <v>2409</v>
      </c>
      <c r="B455" s="4" t="s">
        <v>3945</v>
      </c>
      <c r="C455" s="4" t="s">
        <v>3923</v>
      </c>
      <c r="D455" s="4" t="s">
        <v>3926</v>
      </c>
      <c r="E455" s="7" t="n">
        <v>2</v>
      </c>
    </row>
    <row r="456" customFormat="false" ht="15" hidden="false" customHeight="false" outlineLevel="0" collapsed="false">
      <c r="A456" s="4" t="s">
        <v>2409</v>
      </c>
      <c r="B456" s="4" t="s">
        <v>3930</v>
      </c>
      <c r="C456" s="4" t="s">
        <v>3923</v>
      </c>
      <c r="D456" s="4" t="s">
        <v>3926</v>
      </c>
      <c r="E456" s="7" t="n">
        <v>2</v>
      </c>
    </row>
    <row r="457" customFormat="false" ht="15" hidden="false" customHeight="false" outlineLevel="0" collapsed="false">
      <c r="A457" s="4" t="s">
        <v>2416</v>
      </c>
      <c r="B457" s="4" t="s">
        <v>3942</v>
      </c>
      <c r="C457" s="4" t="s">
        <v>3923</v>
      </c>
      <c r="D457" s="4" t="s">
        <v>3926</v>
      </c>
      <c r="E457" s="7" t="n">
        <v>4</v>
      </c>
    </row>
    <row r="458" customFormat="false" ht="15" hidden="false" customHeight="false" outlineLevel="0" collapsed="false">
      <c r="A458" s="4" t="s">
        <v>2416</v>
      </c>
      <c r="B458" s="4" t="s">
        <v>3922</v>
      </c>
      <c r="C458" s="4" t="s">
        <v>3923</v>
      </c>
      <c r="D458" s="4" t="s">
        <v>3926</v>
      </c>
      <c r="E458" s="7" t="n">
        <v>3</v>
      </c>
    </row>
    <row r="459" customFormat="false" ht="15" hidden="false" customHeight="false" outlineLevel="0" collapsed="false">
      <c r="A459" s="4" t="s">
        <v>2424</v>
      </c>
      <c r="B459" s="4" t="s">
        <v>3936</v>
      </c>
      <c r="C459" s="4" t="s">
        <v>3923</v>
      </c>
      <c r="D459" s="4" t="s">
        <v>3924</v>
      </c>
      <c r="E459" s="7" t="n">
        <v>3</v>
      </c>
    </row>
    <row r="460" customFormat="false" ht="15" hidden="false" customHeight="false" outlineLevel="0" collapsed="false">
      <c r="A460" s="4" t="s">
        <v>2424</v>
      </c>
      <c r="B460" s="4" t="s">
        <v>3932</v>
      </c>
      <c r="C460" s="4" t="s">
        <v>3923</v>
      </c>
      <c r="D460" s="4" t="s">
        <v>3924</v>
      </c>
      <c r="E460" s="7" t="n">
        <v>3</v>
      </c>
    </row>
    <row r="461" customFormat="false" ht="15" hidden="false" customHeight="false" outlineLevel="0" collapsed="false">
      <c r="A461" s="4" t="s">
        <v>2431</v>
      </c>
      <c r="B461" s="4" t="s">
        <v>3932</v>
      </c>
      <c r="C461" s="4" t="s">
        <v>3923</v>
      </c>
      <c r="D461" s="4" t="s">
        <v>3926</v>
      </c>
      <c r="E461" s="7" t="n">
        <v>4</v>
      </c>
    </row>
    <row r="462" customFormat="false" ht="15" hidden="false" customHeight="false" outlineLevel="0" collapsed="false">
      <c r="A462" s="4" t="s">
        <v>2431</v>
      </c>
      <c r="B462" s="4" t="s">
        <v>3945</v>
      </c>
      <c r="C462" s="4" t="s">
        <v>3923</v>
      </c>
      <c r="D462" s="4" t="s">
        <v>3935</v>
      </c>
      <c r="E462" s="7" t="n">
        <v>4</v>
      </c>
    </row>
    <row r="463" customFormat="false" ht="15" hidden="false" customHeight="false" outlineLevel="0" collapsed="false">
      <c r="A463" s="4" t="s">
        <v>2438</v>
      </c>
      <c r="B463" s="4" t="s">
        <v>3946</v>
      </c>
      <c r="C463" s="4" t="s">
        <v>3923</v>
      </c>
      <c r="D463" s="4" t="s">
        <v>3935</v>
      </c>
      <c r="E463" s="7" t="n">
        <v>3</v>
      </c>
    </row>
    <row r="464" customFormat="false" ht="15" hidden="false" customHeight="false" outlineLevel="0" collapsed="false">
      <c r="A464" s="4" t="s">
        <v>2438</v>
      </c>
      <c r="B464" s="4" t="s">
        <v>3929</v>
      </c>
      <c r="C464" s="4" t="s">
        <v>3923</v>
      </c>
      <c r="D464" s="4" t="s">
        <v>3937</v>
      </c>
      <c r="E464" s="7" t="n">
        <v>1</v>
      </c>
    </row>
    <row r="465" customFormat="false" ht="15" hidden="false" customHeight="false" outlineLevel="0" collapsed="false">
      <c r="A465" s="4" t="s">
        <v>2453</v>
      </c>
      <c r="B465" s="4" t="s">
        <v>3929</v>
      </c>
      <c r="C465" s="4" t="s">
        <v>3923</v>
      </c>
      <c r="D465" s="4" t="s">
        <v>3926</v>
      </c>
      <c r="E465" s="7" t="n">
        <v>1</v>
      </c>
    </row>
    <row r="466" customFormat="false" ht="15" hidden="false" customHeight="false" outlineLevel="0" collapsed="false">
      <c r="A466" s="4" t="s">
        <v>2453</v>
      </c>
      <c r="B466" s="4" t="s">
        <v>3946</v>
      </c>
      <c r="C466" s="4" t="s">
        <v>3923</v>
      </c>
      <c r="D466" s="4" t="s">
        <v>3926</v>
      </c>
      <c r="E466" s="7" t="n">
        <v>3</v>
      </c>
    </row>
    <row r="467" customFormat="false" ht="15" hidden="false" customHeight="false" outlineLevel="0" collapsed="false">
      <c r="A467" s="4" t="s">
        <v>2461</v>
      </c>
      <c r="B467" s="4" t="s">
        <v>3941</v>
      </c>
      <c r="C467" s="4" t="s">
        <v>3923</v>
      </c>
      <c r="D467" s="4" t="s">
        <v>3926</v>
      </c>
      <c r="E467" s="7" t="n">
        <v>2</v>
      </c>
    </row>
    <row r="468" customFormat="false" ht="15" hidden="false" customHeight="false" outlineLevel="0" collapsed="false">
      <c r="A468" s="4" t="s">
        <v>2461</v>
      </c>
      <c r="B468" s="4" t="s">
        <v>3945</v>
      </c>
      <c r="C468" s="4" t="s">
        <v>3923</v>
      </c>
      <c r="D468" s="4" t="s">
        <v>3924</v>
      </c>
      <c r="E468" s="7" t="n">
        <v>2</v>
      </c>
    </row>
    <row r="469" customFormat="false" ht="15" hidden="false" customHeight="false" outlineLevel="0" collapsed="false">
      <c r="A469" s="4" t="s">
        <v>2461</v>
      </c>
      <c r="B469" s="4" t="s">
        <v>3943</v>
      </c>
      <c r="C469" s="4" t="s">
        <v>3923</v>
      </c>
      <c r="D469" s="4" t="s">
        <v>3926</v>
      </c>
      <c r="E469" s="7" t="n">
        <v>1</v>
      </c>
    </row>
    <row r="470" customFormat="false" ht="15" hidden="false" customHeight="false" outlineLevel="0" collapsed="false">
      <c r="A470" s="4" t="s">
        <v>2468</v>
      </c>
      <c r="B470" s="4" t="s">
        <v>3943</v>
      </c>
      <c r="C470" s="4" t="s">
        <v>3923</v>
      </c>
      <c r="D470" s="4" t="s">
        <v>3935</v>
      </c>
      <c r="E470" s="7" t="n">
        <v>3</v>
      </c>
    </row>
    <row r="471" customFormat="false" ht="15" hidden="false" customHeight="false" outlineLevel="0" collapsed="false">
      <c r="A471" s="4" t="s">
        <v>2468</v>
      </c>
      <c r="B471" s="4" t="s">
        <v>3942</v>
      </c>
      <c r="C471" s="4" t="s">
        <v>3923</v>
      </c>
      <c r="D471" s="4" t="s">
        <v>3926</v>
      </c>
      <c r="E471" s="7" t="n">
        <v>2</v>
      </c>
    </row>
    <row r="472" customFormat="false" ht="15" hidden="false" customHeight="false" outlineLevel="0" collapsed="false">
      <c r="A472" s="4" t="s">
        <v>2483</v>
      </c>
      <c r="B472" s="4" t="s">
        <v>3942</v>
      </c>
      <c r="C472" s="4" t="s">
        <v>3923</v>
      </c>
      <c r="D472" s="4" t="s">
        <v>3926</v>
      </c>
      <c r="E472" s="7" t="n">
        <v>3</v>
      </c>
    </row>
    <row r="473" customFormat="false" ht="15" hidden="false" customHeight="false" outlineLevel="0" collapsed="false">
      <c r="A473" s="4" t="s">
        <v>2499</v>
      </c>
      <c r="B473" s="4" t="s">
        <v>3931</v>
      </c>
      <c r="C473" s="4" t="s">
        <v>3923</v>
      </c>
      <c r="D473" s="4" t="s">
        <v>3926</v>
      </c>
      <c r="E473" s="7" t="n">
        <v>2</v>
      </c>
    </row>
    <row r="474" customFormat="false" ht="15" hidden="false" customHeight="false" outlineLevel="0" collapsed="false">
      <c r="A474" s="4" t="s">
        <v>2513</v>
      </c>
      <c r="B474" s="4" t="s">
        <v>3925</v>
      </c>
      <c r="C474" s="4" t="s">
        <v>3923</v>
      </c>
      <c r="D474" s="4" t="s">
        <v>3926</v>
      </c>
      <c r="E474" s="7" t="n">
        <v>3</v>
      </c>
    </row>
    <row r="475" customFormat="false" ht="15" hidden="false" customHeight="false" outlineLevel="0" collapsed="false">
      <c r="A475" s="4" t="s">
        <v>2513</v>
      </c>
      <c r="B475" s="4" t="s">
        <v>3938</v>
      </c>
      <c r="C475" s="4" t="s">
        <v>3923</v>
      </c>
      <c r="D475" s="4" t="s">
        <v>3933</v>
      </c>
      <c r="E475" s="7" t="n">
        <v>2</v>
      </c>
    </row>
    <row r="476" customFormat="false" ht="15" hidden="false" customHeight="false" outlineLevel="0" collapsed="false">
      <c r="A476" s="4" t="s">
        <v>2521</v>
      </c>
      <c r="B476" s="4" t="s">
        <v>3930</v>
      </c>
      <c r="C476" s="4" t="s">
        <v>3923</v>
      </c>
      <c r="D476" s="4" t="s">
        <v>3926</v>
      </c>
      <c r="E476" s="7" t="n">
        <v>2</v>
      </c>
    </row>
    <row r="477" customFormat="false" ht="15" hidden="false" customHeight="false" outlineLevel="0" collapsed="false">
      <c r="A477" s="4" t="s">
        <v>2537</v>
      </c>
      <c r="B477" s="4" t="s">
        <v>3938</v>
      </c>
      <c r="C477" s="4" t="s">
        <v>3923</v>
      </c>
      <c r="D477" s="4" t="s">
        <v>3926</v>
      </c>
      <c r="E477" s="7" t="n">
        <v>2</v>
      </c>
    </row>
    <row r="478" customFormat="false" ht="15" hidden="false" customHeight="false" outlineLevel="0" collapsed="false">
      <c r="A478" s="4" t="s">
        <v>2553</v>
      </c>
      <c r="B478" s="4" t="s">
        <v>3922</v>
      </c>
      <c r="C478" s="4" t="s">
        <v>3923</v>
      </c>
      <c r="D478" s="4" t="s">
        <v>3926</v>
      </c>
      <c r="E478" s="7" t="n">
        <v>4</v>
      </c>
    </row>
    <row r="479" customFormat="false" ht="15" hidden="false" customHeight="false" outlineLevel="0" collapsed="false">
      <c r="A479" s="4" t="s">
        <v>2553</v>
      </c>
      <c r="B479" s="4" t="s">
        <v>3934</v>
      </c>
      <c r="C479" s="4" t="s">
        <v>3923</v>
      </c>
      <c r="D479" s="4" t="s">
        <v>3926</v>
      </c>
      <c r="E479" s="7" t="n">
        <v>1</v>
      </c>
    </row>
    <row r="480" customFormat="false" ht="15" hidden="false" customHeight="false" outlineLevel="0" collapsed="false">
      <c r="A480" s="4" t="s">
        <v>2560</v>
      </c>
      <c r="B480" s="4" t="s">
        <v>3944</v>
      </c>
      <c r="C480" s="4" t="s">
        <v>3923</v>
      </c>
      <c r="D480" s="4" t="s">
        <v>3937</v>
      </c>
      <c r="E480" s="7" t="n">
        <v>3</v>
      </c>
    </row>
    <row r="481" customFormat="false" ht="15" hidden="false" customHeight="false" outlineLevel="0" collapsed="false">
      <c r="A481" s="4" t="s">
        <v>2560</v>
      </c>
      <c r="B481" s="4" t="s">
        <v>3929</v>
      </c>
      <c r="C481" s="4" t="s">
        <v>3923</v>
      </c>
      <c r="D481" s="4" t="s">
        <v>3933</v>
      </c>
      <c r="E481" s="7" t="n">
        <v>3</v>
      </c>
    </row>
    <row r="482" customFormat="false" ht="15" hidden="false" customHeight="false" outlineLevel="0" collapsed="false">
      <c r="A482" s="4" t="s">
        <v>2568</v>
      </c>
      <c r="B482" s="4" t="s">
        <v>3930</v>
      </c>
      <c r="C482" s="4" t="s">
        <v>3923</v>
      </c>
      <c r="D482" s="4" t="s">
        <v>3928</v>
      </c>
      <c r="E482" s="7" t="n">
        <v>2</v>
      </c>
    </row>
    <row r="483" customFormat="false" ht="15" hidden="false" customHeight="false" outlineLevel="0" collapsed="false">
      <c r="A483" s="4" t="s">
        <v>2576</v>
      </c>
      <c r="B483" s="4" t="s">
        <v>3942</v>
      </c>
      <c r="C483" s="4" t="s">
        <v>3923</v>
      </c>
      <c r="D483" s="4" t="s">
        <v>3926</v>
      </c>
      <c r="E483" s="7" t="n">
        <v>1</v>
      </c>
    </row>
    <row r="484" customFormat="false" ht="15" hidden="false" customHeight="false" outlineLevel="0" collapsed="false">
      <c r="A484" s="4" t="s">
        <v>2582</v>
      </c>
      <c r="B484" s="4" t="s">
        <v>3945</v>
      </c>
      <c r="C484" s="4" t="s">
        <v>3923</v>
      </c>
      <c r="D484" s="4" t="s">
        <v>3926</v>
      </c>
      <c r="E484" s="7" t="n">
        <v>2</v>
      </c>
    </row>
    <row r="485" customFormat="false" ht="15" hidden="false" customHeight="false" outlineLevel="0" collapsed="false">
      <c r="A485" s="4" t="s">
        <v>2582</v>
      </c>
      <c r="B485" s="4" t="s">
        <v>3946</v>
      </c>
      <c r="C485" s="4" t="s">
        <v>3923</v>
      </c>
      <c r="D485" s="4" t="s">
        <v>3926</v>
      </c>
      <c r="E485" s="7" t="n">
        <v>2</v>
      </c>
    </row>
    <row r="486" customFormat="false" ht="15" hidden="false" customHeight="false" outlineLevel="0" collapsed="false">
      <c r="A486" s="4" t="s">
        <v>2582</v>
      </c>
      <c r="B486" s="4" t="s">
        <v>3925</v>
      </c>
      <c r="C486" s="4" t="s">
        <v>3923</v>
      </c>
      <c r="D486" s="4" t="s">
        <v>3935</v>
      </c>
      <c r="E486" s="7" t="n">
        <v>4</v>
      </c>
    </row>
    <row r="487" customFormat="false" ht="15" hidden="false" customHeight="false" outlineLevel="0" collapsed="false">
      <c r="A487" s="4" t="s">
        <v>2588</v>
      </c>
      <c r="B487" s="4" t="s">
        <v>3941</v>
      </c>
      <c r="C487" s="4" t="s">
        <v>3923</v>
      </c>
      <c r="D487" s="4" t="s">
        <v>3926</v>
      </c>
      <c r="E487" s="7" t="n">
        <v>2</v>
      </c>
    </row>
    <row r="488" customFormat="false" ht="15" hidden="false" customHeight="false" outlineLevel="0" collapsed="false">
      <c r="A488" s="4" t="s">
        <v>2588</v>
      </c>
      <c r="B488" s="4" t="s">
        <v>3927</v>
      </c>
      <c r="C488" s="4" t="s">
        <v>3923</v>
      </c>
      <c r="D488" s="4" t="s">
        <v>3928</v>
      </c>
      <c r="E488" s="7" t="n">
        <v>3</v>
      </c>
    </row>
    <row r="489" customFormat="false" ht="15" hidden="false" customHeight="false" outlineLevel="0" collapsed="false">
      <c r="A489" s="4" t="s">
        <v>2596</v>
      </c>
      <c r="B489" s="4" t="s">
        <v>3927</v>
      </c>
      <c r="C489" s="4" t="s">
        <v>3923</v>
      </c>
      <c r="D489" s="4" t="s">
        <v>3926</v>
      </c>
      <c r="E489" s="7" t="n">
        <v>3</v>
      </c>
    </row>
    <row r="490" customFormat="false" ht="15" hidden="false" customHeight="false" outlineLevel="0" collapsed="false">
      <c r="A490" s="4" t="s">
        <v>2612</v>
      </c>
      <c r="B490" s="4" t="s">
        <v>3945</v>
      </c>
      <c r="C490" s="4" t="s">
        <v>3923</v>
      </c>
      <c r="D490" s="4" t="s">
        <v>3926</v>
      </c>
      <c r="E490" s="7" t="n">
        <v>2</v>
      </c>
    </row>
    <row r="491" customFormat="false" ht="15" hidden="false" customHeight="false" outlineLevel="0" collapsed="false">
      <c r="A491" s="4" t="s">
        <v>2612</v>
      </c>
      <c r="B491" s="4" t="s">
        <v>3934</v>
      </c>
      <c r="C491" s="4" t="s">
        <v>3923</v>
      </c>
      <c r="D491" s="4" t="s">
        <v>3933</v>
      </c>
      <c r="E491" s="7" t="n">
        <v>1</v>
      </c>
    </row>
    <row r="492" customFormat="false" ht="15" hidden="false" customHeight="false" outlineLevel="0" collapsed="false">
      <c r="A492" s="4" t="s">
        <v>2620</v>
      </c>
      <c r="B492" s="4" t="s">
        <v>3931</v>
      </c>
      <c r="C492" s="4" t="s">
        <v>3923</v>
      </c>
      <c r="D492" s="4" t="s">
        <v>3926</v>
      </c>
      <c r="E492" s="7" t="n">
        <v>4</v>
      </c>
    </row>
    <row r="493" customFormat="false" ht="15" hidden="false" customHeight="false" outlineLevel="0" collapsed="false">
      <c r="A493" s="4" t="s">
        <v>2620</v>
      </c>
      <c r="B493" s="4" t="s">
        <v>3929</v>
      </c>
      <c r="C493" s="4" t="s">
        <v>3923</v>
      </c>
      <c r="D493" s="4" t="s">
        <v>3926</v>
      </c>
      <c r="E493" s="7" t="n">
        <v>1</v>
      </c>
    </row>
    <row r="494" customFormat="false" ht="15" hidden="false" customHeight="false" outlineLevel="0" collapsed="false">
      <c r="A494" s="4" t="s">
        <v>2628</v>
      </c>
      <c r="B494" s="4" t="s">
        <v>3936</v>
      </c>
      <c r="C494" s="4" t="s">
        <v>3923</v>
      </c>
      <c r="D494" s="4" t="s">
        <v>3935</v>
      </c>
      <c r="E494" s="7" t="n">
        <v>1</v>
      </c>
    </row>
    <row r="495" customFormat="false" ht="15" hidden="false" customHeight="false" outlineLevel="0" collapsed="false">
      <c r="A495" s="4" t="s">
        <v>2628</v>
      </c>
      <c r="B495" s="4" t="s">
        <v>3930</v>
      </c>
      <c r="C495" s="4" t="s">
        <v>3923</v>
      </c>
      <c r="D495" s="4" t="s">
        <v>3926</v>
      </c>
      <c r="E495" s="7" t="n">
        <v>4</v>
      </c>
    </row>
    <row r="496" customFormat="false" ht="15" hidden="false" customHeight="false" outlineLevel="0" collapsed="false">
      <c r="A496" s="4" t="s">
        <v>2636</v>
      </c>
      <c r="B496" s="4" t="s">
        <v>3943</v>
      </c>
      <c r="C496" s="4" t="s">
        <v>3923</v>
      </c>
      <c r="D496" s="4" t="s">
        <v>3937</v>
      </c>
      <c r="E496" s="7" t="n">
        <v>1</v>
      </c>
    </row>
    <row r="497" customFormat="false" ht="15" hidden="false" customHeight="false" outlineLevel="0" collapsed="false">
      <c r="A497" s="4" t="s">
        <v>2636</v>
      </c>
      <c r="B497" s="4" t="s">
        <v>3941</v>
      </c>
      <c r="C497" s="4" t="s">
        <v>3923</v>
      </c>
      <c r="D497" s="4" t="s">
        <v>3937</v>
      </c>
      <c r="E497" s="7" t="n">
        <v>2</v>
      </c>
    </row>
    <row r="498" customFormat="false" ht="15" hidden="false" customHeight="false" outlineLevel="0" collapsed="false">
      <c r="A498" s="4" t="s">
        <v>2643</v>
      </c>
      <c r="B498" s="4" t="s">
        <v>3942</v>
      </c>
      <c r="C498" s="4" t="s">
        <v>3923</v>
      </c>
      <c r="D498" s="4" t="s">
        <v>3926</v>
      </c>
      <c r="E498" s="7" t="n">
        <v>4</v>
      </c>
    </row>
    <row r="499" customFormat="false" ht="15" hidden="false" customHeight="false" outlineLevel="0" collapsed="false">
      <c r="A499" s="4" t="s">
        <v>2651</v>
      </c>
      <c r="B499" s="4" t="s">
        <v>3930</v>
      </c>
      <c r="C499" s="4" t="s">
        <v>3923</v>
      </c>
      <c r="D499" s="4" t="s">
        <v>3926</v>
      </c>
      <c r="E499" s="7" t="n">
        <v>3</v>
      </c>
    </row>
    <row r="500" customFormat="false" ht="15" hidden="false" customHeight="false" outlineLevel="0" collapsed="false">
      <c r="A500" s="4" t="s">
        <v>2651</v>
      </c>
      <c r="B500" s="4" t="s">
        <v>3944</v>
      </c>
      <c r="C500" s="4" t="s">
        <v>3923</v>
      </c>
      <c r="D500" s="4" t="s">
        <v>3926</v>
      </c>
      <c r="E500" s="7" t="n">
        <v>2</v>
      </c>
    </row>
    <row r="501" customFormat="false" ht="15" hidden="false" customHeight="false" outlineLevel="0" collapsed="false">
      <c r="A501" s="4" t="s">
        <v>2659</v>
      </c>
      <c r="B501" s="4" t="s">
        <v>3938</v>
      </c>
      <c r="C501" s="4" t="s">
        <v>3923</v>
      </c>
      <c r="D501" s="4" t="s">
        <v>3928</v>
      </c>
      <c r="E501" s="7" t="n">
        <v>1</v>
      </c>
    </row>
    <row r="502" customFormat="false" ht="15" hidden="false" customHeight="false" outlineLevel="0" collapsed="false">
      <c r="A502" s="4" t="s">
        <v>2666</v>
      </c>
      <c r="B502" s="4" t="s">
        <v>3930</v>
      </c>
      <c r="C502" s="4" t="s">
        <v>3923</v>
      </c>
      <c r="D502" s="4" t="s">
        <v>3926</v>
      </c>
      <c r="E502" s="7" t="n">
        <v>1</v>
      </c>
    </row>
    <row r="503" customFormat="false" ht="15" hidden="false" customHeight="false" outlineLevel="0" collapsed="false">
      <c r="A503" s="4" t="s">
        <v>2674</v>
      </c>
      <c r="B503" s="4" t="s">
        <v>3940</v>
      </c>
      <c r="C503" s="4" t="s">
        <v>3923</v>
      </c>
      <c r="D503" s="4" t="s">
        <v>3928</v>
      </c>
      <c r="E503" s="7" t="n">
        <v>1</v>
      </c>
    </row>
    <row r="504" customFormat="false" ht="15" hidden="false" customHeight="false" outlineLevel="0" collapsed="false">
      <c r="A504" s="4" t="s">
        <v>2680</v>
      </c>
      <c r="B504" s="4" t="s">
        <v>3932</v>
      </c>
      <c r="C504" s="4" t="s">
        <v>3923</v>
      </c>
      <c r="D504" s="4" t="s">
        <v>3926</v>
      </c>
      <c r="E504" s="7" t="n">
        <v>3</v>
      </c>
    </row>
    <row r="505" customFormat="false" ht="15" hidden="false" customHeight="false" outlineLevel="0" collapsed="false">
      <c r="A505" s="4" t="s">
        <v>2686</v>
      </c>
      <c r="B505" s="4" t="s">
        <v>3930</v>
      </c>
      <c r="C505" s="4" t="s">
        <v>3923</v>
      </c>
      <c r="D505" s="4" t="s">
        <v>3928</v>
      </c>
      <c r="E505" s="7" t="n">
        <v>2</v>
      </c>
    </row>
    <row r="506" customFormat="false" ht="15" hidden="false" customHeight="false" outlineLevel="0" collapsed="false">
      <c r="A506" s="4" t="s">
        <v>2693</v>
      </c>
      <c r="B506" s="4" t="s">
        <v>3942</v>
      </c>
      <c r="C506" s="4" t="s">
        <v>3923</v>
      </c>
      <c r="D506" s="4" t="s">
        <v>3935</v>
      </c>
      <c r="E506" s="7" t="n">
        <v>3</v>
      </c>
    </row>
    <row r="507" customFormat="false" ht="15" hidden="false" customHeight="false" outlineLevel="0" collapsed="false">
      <c r="A507" s="4" t="s">
        <v>2693</v>
      </c>
      <c r="B507" s="4" t="s">
        <v>3940</v>
      </c>
      <c r="C507" s="4" t="s">
        <v>3923</v>
      </c>
      <c r="D507" s="4" t="s">
        <v>3926</v>
      </c>
      <c r="E507" s="7" t="n">
        <v>2</v>
      </c>
    </row>
    <row r="508" customFormat="false" ht="15" hidden="false" customHeight="false" outlineLevel="0" collapsed="false">
      <c r="A508" s="4" t="s">
        <v>2701</v>
      </c>
      <c r="B508" s="4" t="s">
        <v>3930</v>
      </c>
      <c r="C508" s="4" t="s">
        <v>3923</v>
      </c>
      <c r="D508" s="4" t="s">
        <v>3926</v>
      </c>
      <c r="E508" s="7" t="n">
        <v>2</v>
      </c>
    </row>
    <row r="509" customFormat="false" ht="15" hidden="false" customHeight="false" outlineLevel="0" collapsed="false">
      <c r="A509" s="4" t="s">
        <v>2701</v>
      </c>
      <c r="B509" s="4" t="s">
        <v>3932</v>
      </c>
      <c r="C509" s="4" t="s">
        <v>3923</v>
      </c>
      <c r="D509" s="4" t="s">
        <v>3937</v>
      </c>
      <c r="E509" s="7" t="n">
        <v>3</v>
      </c>
    </row>
    <row r="510" customFormat="false" ht="15" hidden="false" customHeight="false" outlineLevel="0" collapsed="false">
      <c r="A510" s="4" t="s">
        <v>2709</v>
      </c>
      <c r="B510" s="4" t="s">
        <v>3925</v>
      </c>
      <c r="C510" s="4" t="s">
        <v>3923</v>
      </c>
      <c r="D510" s="4" t="s">
        <v>3933</v>
      </c>
      <c r="E510" s="7" t="n">
        <v>2</v>
      </c>
    </row>
    <row r="511" customFormat="false" ht="15" hidden="false" customHeight="false" outlineLevel="0" collapsed="false">
      <c r="A511" s="4" t="s">
        <v>2709</v>
      </c>
      <c r="B511" s="4" t="s">
        <v>3940</v>
      </c>
      <c r="C511" s="4" t="s">
        <v>3923</v>
      </c>
      <c r="D511" s="4" t="s">
        <v>3935</v>
      </c>
      <c r="E511" s="7" t="n">
        <v>1</v>
      </c>
    </row>
    <row r="512" customFormat="false" ht="15" hidden="false" customHeight="false" outlineLevel="0" collapsed="false">
      <c r="A512" s="4" t="s">
        <v>2717</v>
      </c>
      <c r="B512" s="4" t="s">
        <v>3932</v>
      </c>
      <c r="C512" s="4" t="s">
        <v>3923</v>
      </c>
      <c r="D512" s="4" t="s">
        <v>3926</v>
      </c>
      <c r="E512" s="7" t="n">
        <v>1</v>
      </c>
    </row>
    <row r="513" customFormat="false" ht="15" hidden="false" customHeight="false" outlineLevel="0" collapsed="false">
      <c r="A513" s="4" t="s">
        <v>2725</v>
      </c>
      <c r="B513" s="4" t="s">
        <v>3925</v>
      </c>
      <c r="C513" s="4" t="s">
        <v>3923</v>
      </c>
      <c r="D513" s="4" t="s">
        <v>3937</v>
      </c>
      <c r="E513" s="7" t="n">
        <v>4</v>
      </c>
    </row>
    <row r="514" customFormat="false" ht="15" hidden="false" customHeight="false" outlineLevel="0" collapsed="false">
      <c r="A514" s="4" t="s">
        <v>2733</v>
      </c>
      <c r="B514" s="4" t="s">
        <v>3946</v>
      </c>
      <c r="C514" s="4" t="s">
        <v>3923</v>
      </c>
      <c r="D514" s="4" t="s">
        <v>3926</v>
      </c>
      <c r="E514" s="7" t="n">
        <v>4</v>
      </c>
    </row>
    <row r="515" customFormat="false" ht="15" hidden="false" customHeight="false" outlineLevel="0" collapsed="false">
      <c r="A515" s="4" t="s">
        <v>2741</v>
      </c>
      <c r="B515" s="4" t="s">
        <v>3945</v>
      </c>
      <c r="C515" s="4" t="s">
        <v>3923</v>
      </c>
      <c r="D515" s="4" t="s">
        <v>3926</v>
      </c>
      <c r="E515" s="7" t="n">
        <v>3</v>
      </c>
    </row>
    <row r="516" customFormat="false" ht="15" hidden="false" customHeight="false" outlineLevel="0" collapsed="false">
      <c r="A516" s="4" t="s">
        <v>2748</v>
      </c>
      <c r="B516" s="4" t="s">
        <v>3942</v>
      </c>
      <c r="C516" s="4" t="s">
        <v>3923</v>
      </c>
      <c r="D516" s="4" t="s">
        <v>3926</v>
      </c>
      <c r="E516" s="7" t="n">
        <v>2</v>
      </c>
    </row>
    <row r="517" customFormat="false" ht="15" hidden="false" customHeight="false" outlineLevel="0" collapsed="false">
      <c r="A517" s="4" t="s">
        <v>2748</v>
      </c>
      <c r="B517" s="4" t="s">
        <v>3944</v>
      </c>
      <c r="C517" s="4" t="s">
        <v>3923</v>
      </c>
      <c r="D517" s="4" t="s">
        <v>3926</v>
      </c>
      <c r="E517" s="7" t="n">
        <v>1</v>
      </c>
    </row>
    <row r="518" customFormat="false" ht="15" hidden="false" customHeight="false" outlineLevel="0" collapsed="false">
      <c r="A518" s="4" t="s">
        <v>2754</v>
      </c>
      <c r="B518" s="4" t="s">
        <v>3942</v>
      </c>
      <c r="C518" s="4" t="s">
        <v>3923</v>
      </c>
      <c r="D518" s="4" t="s">
        <v>3937</v>
      </c>
      <c r="E518" s="7" t="n">
        <v>2</v>
      </c>
    </row>
    <row r="519" customFormat="false" ht="15" hidden="false" customHeight="false" outlineLevel="0" collapsed="false">
      <c r="A519" s="4" t="s">
        <v>2754</v>
      </c>
      <c r="B519" s="4" t="s">
        <v>3945</v>
      </c>
      <c r="C519" s="4" t="s">
        <v>3923</v>
      </c>
      <c r="D519" s="4" t="s">
        <v>3928</v>
      </c>
      <c r="E519" s="7" t="n">
        <v>2</v>
      </c>
    </row>
    <row r="520" customFormat="false" ht="15" hidden="false" customHeight="false" outlineLevel="0" collapsed="false">
      <c r="A520" s="4" t="s">
        <v>2762</v>
      </c>
      <c r="B520" s="4" t="s">
        <v>3934</v>
      </c>
      <c r="C520" s="4" t="s">
        <v>3923</v>
      </c>
      <c r="D520" s="4" t="s">
        <v>3937</v>
      </c>
      <c r="E520" s="7" t="n">
        <v>3</v>
      </c>
    </row>
    <row r="521" customFormat="false" ht="15" hidden="false" customHeight="false" outlineLevel="0" collapsed="false">
      <c r="A521" s="4" t="s">
        <v>2769</v>
      </c>
      <c r="B521" s="4" t="s">
        <v>3927</v>
      </c>
      <c r="C521" s="4" t="s">
        <v>3923</v>
      </c>
      <c r="D521" s="4" t="s">
        <v>3933</v>
      </c>
      <c r="E521" s="7" t="n">
        <v>1</v>
      </c>
    </row>
    <row r="522" customFormat="false" ht="15" hidden="false" customHeight="false" outlineLevel="0" collapsed="false">
      <c r="A522" s="4" t="s">
        <v>2769</v>
      </c>
      <c r="B522" s="4" t="s">
        <v>3936</v>
      </c>
      <c r="C522" s="4" t="s">
        <v>3923</v>
      </c>
      <c r="D522" s="4" t="s">
        <v>3926</v>
      </c>
      <c r="E522" s="7" t="n">
        <v>3</v>
      </c>
    </row>
    <row r="523" customFormat="false" ht="15" hidden="false" customHeight="false" outlineLevel="0" collapsed="false">
      <c r="A523" s="4" t="s">
        <v>2777</v>
      </c>
      <c r="B523" s="4" t="s">
        <v>3945</v>
      </c>
      <c r="C523" s="4" t="s">
        <v>3923</v>
      </c>
      <c r="D523" s="4" t="s">
        <v>3924</v>
      </c>
      <c r="E523" s="7" t="n">
        <v>4</v>
      </c>
    </row>
    <row r="524" customFormat="false" ht="15" hidden="false" customHeight="false" outlineLevel="0" collapsed="false">
      <c r="A524" s="4" t="s">
        <v>2777</v>
      </c>
      <c r="B524" s="4" t="s">
        <v>3934</v>
      </c>
      <c r="C524" s="4" t="s">
        <v>3923</v>
      </c>
      <c r="D524" s="4" t="s">
        <v>3933</v>
      </c>
      <c r="E524" s="7" t="n">
        <v>3</v>
      </c>
    </row>
    <row r="525" customFormat="false" ht="15" hidden="false" customHeight="false" outlineLevel="0" collapsed="false">
      <c r="A525" s="4" t="s">
        <v>2784</v>
      </c>
      <c r="B525" s="4" t="s">
        <v>3925</v>
      </c>
      <c r="C525" s="4" t="s">
        <v>3923</v>
      </c>
      <c r="D525" s="4" t="s">
        <v>3926</v>
      </c>
      <c r="E525" s="7" t="n">
        <v>2</v>
      </c>
    </row>
    <row r="526" customFormat="false" ht="15" hidden="false" customHeight="false" outlineLevel="0" collapsed="false">
      <c r="A526" s="4" t="s">
        <v>2798</v>
      </c>
      <c r="B526" s="4" t="s">
        <v>3932</v>
      </c>
      <c r="C526" s="4" t="s">
        <v>3923</v>
      </c>
      <c r="D526" s="4" t="s">
        <v>3928</v>
      </c>
      <c r="E526" s="7" t="n">
        <v>1</v>
      </c>
    </row>
    <row r="527" customFormat="false" ht="15" hidden="false" customHeight="false" outlineLevel="0" collapsed="false">
      <c r="A527" s="4" t="s">
        <v>2798</v>
      </c>
      <c r="B527" s="4" t="s">
        <v>3938</v>
      </c>
      <c r="C527" s="4" t="s">
        <v>3923</v>
      </c>
      <c r="D527" s="4" t="s">
        <v>3924</v>
      </c>
      <c r="E527" s="7" t="n">
        <v>3</v>
      </c>
    </row>
    <row r="528" customFormat="false" ht="15" hidden="false" customHeight="false" outlineLevel="0" collapsed="false">
      <c r="A528" s="4" t="s">
        <v>2805</v>
      </c>
      <c r="B528" s="4" t="s">
        <v>3930</v>
      </c>
      <c r="C528" s="4" t="s">
        <v>3923</v>
      </c>
      <c r="D528" s="4" t="s">
        <v>3933</v>
      </c>
      <c r="E528" s="7" t="n">
        <v>1</v>
      </c>
    </row>
    <row r="529" customFormat="false" ht="15" hidden="false" customHeight="false" outlineLevel="0" collapsed="false">
      <c r="A529" s="4" t="s">
        <v>2812</v>
      </c>
      <c r="B529" s="4" t="s">
        <v>3945</v>
      </c>
      <c r="C529" s="4" t="s">
        <v>3923</v>
      </c>
      <c r="D529" s="4" t="s">
        <v>3933</v>
      </c>
      <c r="E529" s="7" t="n">
        <v>2</v>
      </c>
    </row>
    <row r="530" customFormat="false" ht="15" hidden="false" customHeight="false" outlineLevel="0" collapsed="false">
      <c r="A530" s="4" t="s">
        <v>2819</v>
      </c>
      <c r="B530" s="4" t="s">
        <v>3943</v>
      </c>
      <c r="C530" s="4" t="s">
        <v>3923</v>
      </c>
      <c r="D530" s="4" t="s">
        <v>3937</v>
      </c>
      <c r="E530" s="7" t="n">
        <v>2</v>
      </c>
    </row>
    <row r="531" customFormat="false" ht="15" hidden="false" customHeight="false" outlineLevel="0" collapsed="false">
      <c r="A531" s="4" t="s">
        <v>2819</v>
      </c>
      <c r="B531" s="4" t="s">
        <v>3938</v>
      </c>
      <c r="C531" s="4" t="s">
        <v>3923</v>
      </c>
      <c r="D531" s="4" t="s">
        <v>3926</v>
      </c>
      <c r="E531" s="7" t="n">
        <v>1</v>
      </c>
    </row>
    <row r="532" customFormat="false" ht="15" hidden="false" customHeight="false" outlineLevel="0" collapsed="false">
      <c r="A532" s="4" t="s">
        <v>2819</v>
      </c>
      <c r="B532" s="4" t="s">
        <v>3944</v>
      </c>
      <c r="C532" s="4" t="s">
        <v>3923</v>
      </c>
      <c r="D532" s="4" t="s">
        <v>3926</v>
      </c>
      <c r="E532" s="7" t="n">
        <v>4</v>
      </c>
    </row>
    <row r="533" customFormat="false" ht="15" hidden="false" customHeight="false" outlineLevel="0" collapsed="false">
      <c r="A533" s="4" t="s">
        <v>2825</v>
      </c>
      <c r="B533" s="4" t="s">
        <v>3941</v>
      </c>
      <c r="C533" s="4" t="s">
        <v>3923</v>
      </c>
      <c r="D533" s="4" t="s">
        <v>3924</v>
      </c>
      <c r="E533" s="7" t="n">
        <v>1</v>
      </c>
    </row>
    <row r="534" customFormat="false" ht="15" hidden="false" customHeight="false" outlineLevel="0" collapsed="false">
      <c r="A534" s="4" t="s">
        <v>2825</v>
      </c>
      <c r="B534" s="4" t="s">
        <v>3944</v>
      </c>
      <c r="C534" s="4" t="s">
        <v>3923</v>
      </c>
      <c r="D534" s="4" t="s">
        <v>3937</v>
      </c>
      <c r="E534" s="7" t="n">
        <v>1</v>
      </c>
    </row>
    <row r="535" customFormat="false" ht="15" hidden="false" customHeight="false" outlineLevel="0" collapsed="false">
      <c r="A535" s="4" t="s">
        <v>2841</v>
      </c>
      <c r="B535" s="4" t="s">
        <v>3945</v>
      </c>
      <c r="C535" s="4" t="s">
        <v>3923</v>
      </c>
      <c r="D535" s="4" t="s">
        <v>3926</v>
      </c>
      <c r="E535" s="7" t="n">
        <v>1</v>
      </c>
    </row>
    <row r="536" customFormat="false" ht="15" hidden="false" customHeight="false" outlineLevel="0" collapsed="false">
      <c r="A536" s="4" t="s">
        <v>2841</v>
      </c>
      <c r="B536" s="4" t="s">
        <v>3943</v>
      </c>
      <c r="C536" s="4" t="s">
        <v>3923</v>
      </c>
      <c r="D536" s="4" t="s">
        <v>3926</v>
      </c>
      <c r="E536" s="7" t="n">
        <v>1</v>
      </c>
    </row>
    <row r="537" customFormat="false" ht="15" hidden="false" customHeight="false" outlineLevel="0" collapsed="false">
      <c r="A537" s="4" t="s">
        <v>2848</v>
      </c>
      <c r="B537" s="4" t="s">
        <v>3945</v>
      </c>
      <c r="C537" s="4" t="s">
        <v>3923</v>
      </c>
      <c r="D537" s="4" t="s">
        <v>3926</v>
      </c>
      <c r="E537" s="7" t="n">
        <v>4</v>
      </c>
    </row>
    <row r="538" customFormat="false" ht="15" hidden="false" customHeight="false" outlineLevel="0" collapsed="false">
      <c r="A538" s="4" t="s">
        <v>2848</v>
      </c>
      <c r="B538" s="4" t="s">
        <v>3925</v>
      </c>
      <c r="C538" s="4" t="s">
        <v>3923</v>
      </c>
      <c r="D538" s="4" t="s">
        <v>3926</v>
      </c>
      <c r="E538" s="7" t="n">
        <v>2</v>
      </c>
    </row>
    <row r="539" customFormat="false" ht="15" hidden="false" customHeight="false" outlineLevel="0" collapsed="false">
      <c r="A539" s="4" t="s">
        <v>2848</v>
      </c>
      <c r="B539" s="4" t="s">
        <v>3936</v>
      </c>
      <c r="C539" s="4" t="s">
        <v>3923</v>
      </c>
      <c r="D539" s="4" t="s">
        <v>3926</v>
      </c>
      <c r="E539" s="7" t="n">
        <v>4</v>
      </c>
    </row>
    <row r="540" customFormat="false" ht="15" hidden="false" customHeight="false" outlineLevel="0" collapsed="false">
      <c r="A540" s="4" t="s">
        <v>2856</v>
      </c>
      <c r="B540" s="4" t="s">
        <v>3939</v>
      </c>
      <c r="C540" s="4" t="s">
        <v>3923</v>
      </c>
      <c r="D540" s="4" t="s">
        <v>3937</v>
      </c>
      <c r="E540" s="7" t="n">
        <v>1</v>
      </c>
    </row>
    <row r="541" customFormat="false" ht="15" hidden="false" customHeight="false" outlineLevel="0" collapsed="false">
      <c r="A541" s="4" t="s">
        <v>2856</v>
      </c>
      <c r="B541" s="4" t="s">
        <v>3929</v>
      </c>
      <c r="C541" s="4" t="s">
        <v>3923</v>
      </c>
      <c r="D541" s="4" t="s">
        <v>3926</v>
      </c>
      <c r="E541" s="7" t="n">
        <v>4</v>
      </c>
    </row>
    <row r="542" customFormat="false" ht="15" hidden="false" customHeight="false" outlineLevel="0" collapsed="false">
      <c r="A542" s="4" t="s">
        <v>2864</v>
      </c>
      <c r="B542" s="4" t="s">
        <v>3936</v>
      </c>
      <c r="C542" s="4" t="s">
        <v>3923</v>
      </c>
      <c r="D542" s="4" t="s">
        <v>3933</v>
      </c>
      <c r="E542" s="7" t="n">
        <v>4</v>
      </c>
    </row>
    <row r="543" customFormat="false" ht="15" hidden="false" customHeight="false" outlineLevel="0" collapsed="false">
      <c r="A543" s="4" t="s">
        <v>2872</v>
      </c>
      <c r="B543" s="4" t="s">
        <v>3939</v>
      </c>
      <c r="C543" s="4" t="s">
        <v>3923</v>
      </c>
      <c r="D543" s="4" t="s">
        <v>3933</v>
      </c>
      <c r="E543" s="7" t="n">
        <v>1</v>
      </c>
    </row>
    <row r="544" customFormat="false" ht="15" hidden="false" customHeight="false" outlineLevel="0" collapsed="false">
      <c r="A544" s="4" t="s">
        <v>2872</v>
      </c>
      <c r="B544" s="4" t="s">
        <v>3930</v>
      </c>
      <c r="C544" s="4" t="s">
        <v>3923</v>
      </c>
      <c r="D544" s="4" t="s">
        <v>3937</v>
      </c>
      <c r="E544" s="7" t="n">
        <v>1</v>
      </c>
    </row>
    <row r="545" customFormat="false" ht="15" hidden="false" customHeight="false" outlineLevel="0" collapsed="false">
      <c r="A545" s="4" t="s">
        <v>2872</v>
      </c>
      <c r="B545" s="4" t="s">
        <v>3936</v>
      </c>
      <c r="C545" s="4" t="s">
        <v>3923</v>
      </c>
      <c r="D545" s="4" t="s">
        <v>3933</v>
      </c>
      <c r="E545" s="7" t="n">
        <v>4</v>
      </c>
    </row>
    <row r="546" customFormat="false" ht="15" hidden="false" customHeight="false" outlineLevel="0" collapsed="false">
      <c r="A546" s="4" t="s">
        <v>2880</v>
      </c>
      <c r="B546" s="4" t="s">
        <v>3925</v>
      </c>
      <c r="C546" s="4" t="s">
        <v>3923</v>
      </c>
      <c r="D546" s="4" t="s">
        <v>3935</v>
      </c>
      <c r="E546" s="7" t="n">
        <v>1</v>
      </c>
    </row>
    <row r="547" customFormat="false" ht="15" hidden="false" customHeight="false" outlineLevel="0" collapsed="false">
      <c r="A547" s="4" t="s">
        <v>2888</v>
      </c>
      <c r="B547" s="4" t="s">
        <v>3940</v>
      </c>
      <c r="C547" s="4" t="s">
        <v>3923</v>
      </c>
      <c r="D547" s="4" t="s">
        <v>3926</v>
      </c>
      <c r="E547" s="7" t="n">
        <v>3</v>
      </c>
    </row>
    <row r="548" customFormat="false" ht="15" hidden="false" customHeight="false" outlineLevel="0" collapsed="false">
      <c r="A548" s="4" t="s">
        <v>2895</v>
      </c>
      <c r="B548" s="4" t="s">
        <v>3946</v>
      </c>
      <c r="C548" s="4" t="s">
        <v>3923</v>
      </c>
      <c r="D548" s="4" t="s">
        <v>3924</v>
      </c>
      <c r="E548" s="7" t="n">
        <v>1</v>
      </c>
    </row>
    <row r="549" customFormat="false" ht="15" hidden="false" customHeight="false" outlineLevel="0" collapsed="false">
      <c r="A549" s="4" t="s">
        <v>2895</v>
      </c>
      <c r="B549" s="4" t="s">
        <v>3932</v>
      </c>
      <c r="C549" s="4" t="s">
        <v>3923</v>
      </c>
      <c r="D549" s="4" t="s">
        <v>3926</v>
      </c>
      <c r="E549" s="7" t="n">
        <v>4</v>
      </c>
    </row>
    <row r="550" customFormat="false" ht="15" hidden="false" customHeight="false" outlineLevel="0" collapsed="false">
      <c r="A550" s="4" t="s">
        <v>2903</v>
      </c>
      <c r="B550" s="4" t="s">
        <v>3927</v>
      </c>
      <c r="C550" s="4" t="s">
        <v>3923</v>
      </c>
      <c r="D550" s="4" t="s">
        <v>3928</v>
      </c>
      <c r="E550" s="7" t="n">
        <v>2</v>
      </c>
    </row>
    <row r="551" customFormat="false" ht="15" hidden="false" customHeight="false" outlineLevel="0" collapsed="false">
      <c r="A551" s="4" t="s">
        <v>2903</v>
      </c>
      <c r="B551" s="4" t="s">
        <v>3931</v>
      </c>
      <c r="C551" s="4" t="s">
        <v>3923</v>
      </c>
      <c r="D551" s="4" t="s">
        <v>3933</v>
      </c>
      <c r="E551" s="7" t="n">
        <v>4</v>
      </c>
    </row>
    <row r="552" customFormat="false" ht="15" hidden="false" customHeight="false" outlineLevel="0" collapsed="false">
      <c r="A552" s="4" t="s">
        <v>2910</v>
      </c>
      <c r="B552" s="4" t="s">
        <v>3934</v>
      </c>
      <c r="C552" s="4" t="s">
        <v>3923</v>
      </c>
      <c r="D552" s="4" t="s">
        <v>3926</v>
      </c>
      <c r="E552" s="7" t="n">
        <v>2</v>
      </c>
    </row>
    <row r="553" customFormat="false" ht="15" hidden="false" customHeight="false" outlineLevel="0" collapsed="false">
      <c r="A553" s="4" t="s">
        <v>2918</v>
      </c>
      <c r="B553" s="4" t="s">
        <v>3934</v>
      </c>
      <c r="C553" s="4" t="s">
        <v>3923</v>
      </c>
      <c r="D553" s="4" t="s">
        <v>3937</v>
      </c>
      <c r="E553" s="7" t="n">
        <v>1</v>
      </c>
    </row>
    <row r="554" customFormat="false" ht="15" hidden="false" customHeight="false" outlineLevel="0" collapsed="false">
      <c r="A554" s="4" t="s">
        <v>2918</v>
      </c>
      <c r="B554" s="4" t="s">
        <v>3931</v>
      </c>
      <c r="C554" s="4" t="s">
        <v>3923</v>
      </c>
      <c r="D554" s="4" t="s">
        <v>3926</v>
      </c>
      <c r="E554" s="7" t="n">
        <v>2</v>
      </c>
    </row>
    <row r="555" customFormat="false" ht="15" hidden="false" customHeight="false" outlineLevel="0" collapsed="false">
      <c r="A555" s="4" t="s">
        <v>2918</v>
      </c>
      <c r="B555" s="4" t="s">
        <v>3932</v>
      </c>
      <c r="C555" s="4" t="s">
        <v>3923</v>
      </c>
      <c r="D555" s="4" t="s">
        <v>3928</v>
      </c>
      <c r="E555" s="7" t="n">
        <v>3</v>
      </c>
    </row>
    <row r="556" customFormat="false" ht="15" hidden="false" customHeight="false" outlineLevel="0" collapsed="false">
      <c r="A556" s="4" t="s">
        <v>2925</v>
      </c>
      <c r="B556" s="4" t="s">
        <v>3930</v>
      </c>
      <c r="C556" s="4" t="s">
        <v>3923</v>
      </c>
      <c r="D556" s="4" t="s">
        <v>3933</v>
      </c>
      <c r="E556" s="7" t="n">
        <v>1</v>
      </c>
    </row>
    <row r="557" customFormat="false" ht="15" hidden="false" customHeight="false" outlineLevel="0" collapsed="false">
      <c r="A557" s="4" t="s">
        <v>2925</v>
      </c>
      <c r="B557" s="4" t="s">
        <v>3945</v>
      </c>
      <c r="C557" s="4" t="s">
        <v>3923</v>
      </c>
      <c r="D557" s="4" t="s">
        <v>3937</v>
      </c>
      <c r="E557" s="7" t="n">
        <v>1</v>
      </c>
    </row>
    <row r="558" customFormat="false" ht="15" hidden="false" customHeight="false" outlineLevel="0" collapsed="false">
      <c r="A558" s="4" t="s">
        <v>2925</v>
      </c>
      <c r="B558" s="4" t="s">
        <v>3940</v>
      </c>
      <c r="C558" s="4" t="s">
        <v>3923</v>
      </c>
      <c r="D558" s="4" t="s">
        <v>3926</v>
      </c>
      <c r="E558" s="7" t="n">
        <v>4</v>
      </c>
    </row>
    <row r="559" customFormat="false" ht="15" hidden="false" customHeight="false" outlineLevel="0" collapsed="false">
      <c r="A559" s="4" t="s">
        <v>2932</v>
      </c>
      <c r="B559" s="4" t="s">
        <v>3945</v>
      </c>
      <c r="C559" s="4" t="s">
        <v>3923</v>
      </c>
      <c r="D559" s="4" t="s">
        <v>3926</v>
      </c>
      <c r="E559" s="7" t="n">
        <v>4</v>
      </c>
    </row>
    <row r="560" customFormat="false" ht="15" hidden="false" customHeight="false" outlineLevel="0" collapsed="false">
      <c r="A560" s="4" t="s">
        <v>2932</v>
      </c>
      <c r="B560" s="4" t="s">
        <v>3922</v>
      </c>
      <c r="C560" s="4" t="s">
        <v>3923</v>
      </c>
      <c r="D560" s="4" t="s">
        <v>3926</v>
      </c>
      <c r="E560" s="7" t="n">
        <v>3</v>
      </c>
    </row>
    <row r="561" customFormat="false" ht="15" hidden="false" customHeight="false" outlineLevel="0" collapsed="false">
      <c r="A561" s="4" t="s">
        <v>2939</v>
      </c>
      <c r="B561" s="4" t="s">
        <v>3932</v>
      </c>
      <c r="C561" s="4" t="s">
        <v>3923</v>
      </c>
      <c r="D561" s="4" t="s">
        <v>3926</v>
      </c>
      <c r="E561" s="7" t="n">
        <v>2</v>
      </c>
    </row>
    <row r="562" customFormat="false" ht="15" hidden="false" customHeight="false" outlineLevel="0" collapsed="false">
      <c r="A562" s="4" t="s">
        <v>2946</v>
      </c>
      <c r="B562" s="4" t="s">
        <v>3934</v>
      </c>
      <c r="C562" s="4" t="s">
        <v>3923</v>
      </c>
      <c r="D562" s="4" t="s">
        <v>3935</v>
      </c>
      <c r="E562" s="7" t="n">
        <v>1</v>
      </c>
    </row>
    <row r="563" customFormat="false" ht="15" hidden="false" customHeight="false" outlineLevel="0" collapsed="false">
      <c r="A563" s="4" t="s">
        <v>2946</v>
      </c>
      <c r="B563" s="4" t="s">
        <v>3931</v>
      </c>
      <c r="C563" s="4" t="s">
        <v>3923</v>
      </c>
      <c r="D563" s="4" t="s">
        <v>3926</v>
      </c>
      <c r="E563" s="7" t="n">
        <v>4</v>
      </c>
    </row>
    <row r="564" customFormat="false" ht="15" hidden="false" customHeight="false" outlineLevel="0" collapsed="false">
      <c r="A564" s="4" t="s">
        <v>2959</v>
      </c>
      <c r="B564" s="4" t="s">
        <v>3929</v>
      </c>
      <c r="C564" s="4" t="s">
        <v>3923</v>
      </c>
      <c r="D564" s="4" t="s">
        <v>3937</v>
      </c>
      <c r="E564" s="7" t="n">
        <v>4</v>
      </c>
    </row>
    <row r="565" customFormat="false" ht="15" hidden="false" customHeight="false" outlineLevel="0" collapsed="false">
      <c r="A565" s="4" t="s">
        <v>2959</v>
      </c>
      <c r="B565" s="4" t="s">
        <v>3930</v>
      </c>
      <c r="C565" s="4" t="s">
        <v>3923</v>
      </c>
      <c r="D565" s="4" t="s">
        <v>3926</v>
      </c>
      <c r="E565" s="7" t="n">
        <v>2</v>
      </c>
    </row>
    <row r="566" customFormat="false" ht="15" hidden="false" customHeight="false" outlineLevel="0" collapsed="false">
      <c r="A566" s="4" t="s">
        <v>2967</v>
      </c>
      <c r="B566" s="4" t="s">
        <v>3931</v>
      </c>
      <c r="C566" s="4" t="s">
        <v>3923</v>
      </c>
      <c r="D566" s="4" t="s">
        <v>3926</v>
      </c>
      <c r="E566" s="7" t="n">
        <v>4</v>
      </c>
    </row>
    <row r="567" customFormat="false" ht="15" hidden="false" customHeight="false" outlineLevel="0" collapsed="false">
      <c r="A567" s="4" t="s">
        <v>2967</v>
      </c>
      <c r="B567" s="4" t="s">
        <v>3936</v>
      </c>
      <c r="C567" s="4" t="s">
        <v>3923</v>
      </c>
      <c r="D567" s="4" t="s">
        <v>3926</v>
      </c>
      <c r="E567" s="7" t="n">
        <v>1</v>
      </c>
    </row>
    <row r="568" customFormat="false" ht="15" hidden="false" customHeight="false" outlineLevel="0" collapsed="false">
      <c r="A568" s="4" t="s">
        <v>2983</v>
      </c>
      <c r="B568" s="4" t="s">
        <v>3925</v>
      </c>
      <c r="C568" s="4" t="s">
        <v>3923</v>
      </c>
      <c r="D568" s="4" t="s">
        <v>3926</v>
      </c>
      <c r="E568" s="7" t="n">
        <v>1</v>
      </c>
    </row>
    <row r="569" customFormat="false" ht="15" hidden="false" customHeight="false" outlineLevel="0" collapsed="false">
      <c r="A569" s="4" t="s">
        <v>2991</v>
      </c>
      <c r="B569" s="4" t="s">
        <v>3922</v>
      </c>
      <c r="C569" s="4" t="s">
        <v>3923</v>
      </c>
      <c r="D569" s="4" t="s">
        <v>3926</v>
      </c>
      <c r="E569" s="7" t="n">
        <v>2</v>
      </c>
    </row>
    <row r="570" customFormat="false" ht="15" hidden="false" customHeight="false" outlineLevel="0" collapsed="false">
      <c r="A570" s="4" t="s">
        <v>3006</v>
      </c>
      <c r="B570" s="4" t="s">
        <v>3936</v>
      </c>
      <c r="C570" s="4" t="s">
        <v>3923</v>
      </c>
      <c r="D570" s="4" t="s">
        <v>3937</v>
      </c>
      <c r="E570" s="7" t="n">
        <v>1</v>
      </c>
    </row>
    <row r="571" customFormat="false" ht="15" hidden="false" customHeight="false" outlineLevel="0" collapsed="false">
      <c r="A571" s="4" t="s">
        <v>3014</v>
      </c>
      <c r="B571" s="4" t="s">
        <v>3946</v>
      </c>
      <c r="C571" s="4" t="s">
        <v>3923</v>
      </c>
      <c r="D571" s="4" t="s">
        <v>3937</v>
      </c>
      <c r="E571" s="7" t="n">
        <v>4</v>
      </c>
    </row>
    <row r="572" customFormat="false" ht="15" hidden="false" customHeight="false" outlineLevel="0" collapsed="false">
      <c r="A572" s="4" t="s">
        <v>3014</v>
      </c>
      <c r="B572" s="4" t="s">
        <v>3934</v>
      </c>
      <c r="C572" s="4" t="s">
        <v>3923</v>
      </c>
      <c r="D572" s="4" t="s">
        <v>3933</v>
      </c>
      <c r="E572" s="7" t="n">
        <v>3</v>
      </c>
    </row>
    <row r="573" customFormat="false" ht="15" hidden="false" customHeight="false" outlineLevel="0" collapsed="false">
      <c r="A573" s="4" t="s">
        <v>3021</v>
      </c>
      <c r="B573" s="4" t="s">
        <v>3943</v>
      </c>
      <c r="C573" s="4" t="s">
        <v>3923</v>
      </c>
      <c r="D573" s="4" t="s">
        <v>3926</v>
      </c>
      <c r="E573" s="7" t="n">
        <v>2</v>
      </c>
    </row>
    <row r="574" customFormat="false" ht="15" hidden="false" customHeight="false" outlineLevel="0" collapsed="false">
      <c r="A574" s="4" t="s">
        <v>3021</v>
      </c>
      <c r="B574" s="4" t="s">
        <v>3940</v>
      </c>
      <c r="C574" s="4" t="s">
        <v>3923</v>
      </c>
      <c r="D574" s="4" t="s">
        <v>3926</v>
      </c>
      <c r="E574" s="7" t="n">
        <v>1</v>
      </c>
    </row>
    <row r="575" customFormat="false" ht="15" hidden="false" customHeight="false" outlineLevel="0" collapsed="false">
      <c r="A575" s="4" t="s">
        <v>3029</v>
      </c>
      <c r="B575" s="4" t="s">
        <v>3941</v>
      </c>
      <c r="C575" s="4" t="s">
        <v>3923</v>
      </c>
      <c r="D575" s="4" t="s">
        <v>3935</v>
      </c>
      <c r="E575" s="7" t="n">
        <v>2</v>
      </c>
    </row>
    <row r="576" customFormat="false" ht="15" hidden="false" customHeight="false" outlineLevel="0" collapsed="false">
      <c r="A576" s="4" t="s">
        <v>3037</v>
      </c>
      <c r="B576" s="4" t="s">
        <v>3939</v>
      </c>
      <c r="C576" s="4" t="s">
        <v>3923</v>
      </c>
      <c r="D576" s="4" t="s">
        <v>3935</v>
      </c>
      <c r="E576" s="7" t="n">
        <v>1</v>
      </c>
    </row>
    <row r="577" customFormat="false" ht="15" hidden="false" customHeight="false" outlineLevel="0" collapsed="false">
      <c r="A577" s="4" t="s">
        <v>3037</v>
      </c>
      <c r="B577" s="4" t="s">
        <v>3944</v>
      </c>
      <c r="C577" s="4" t="s">
        <v>3923</v>
      </c>
      <c r="D577" s="4" t="s">
        <v>3926</v>
      </c>
      <c r="E577" s="7" t="n">
        <v>4</v>
      </c>
    </row>
    <row r="578" customFormat="false" ht="15" hidden="false" customHeight="false" outlineLevel="0" collapsed="false">
      <c r="A578" s="4" t="s">
        <v>3037</v>
      </c>
      <c r="B578" s="4" t="s">
        <v>3940</v>
      </c>
      <c r="C578" s="4" t="s">
        <v>3923</v>
      </c>
      <c r="D578" s="4" t="s">
        <v>3924</v>
      </c>
      <c r="E578" s="7" t="n">
        <v>4</v>
      </c>
    </row>
    <row r="579" customFormat="false" ht="15" hidden="false" customHeight="false" outlineLevel="0" collapsed="false">
      <c r="A579" s="4" t="s">
        <v>3052</v>
      </c>
      <c r="B579" s="4" t="s">
        <v>3940</v>
      </c>
      <c r="C579" s="4" t="s">
        <v>3923</v>
      </c>
      <c r="D579" s="4" t="s">
        <v>3926</v>
      </c>
      <c r="E579" s="7" t="n">
        <v>2</v>
      </c>
    </row>
    <row r="580" customFormat="false" ht="15" hidden="false" customHeight="false" outlineLevel="0" collapsed="false">
      <c r="A580" s="4" t="s">
        <v>3059</v>
      </c>
      <c r="B580" s="4" t="s">
        <v>3934</v>
      </c>
      <c r="C580" s="4" t="s">
        <v>3923</v>
      </c>
      <c r="D580" s="4" t="s">
        <v>3924</v>
      </c>
      <c r="E580" s="7" t="n">
        <v>4</v>
      </c>
    </row>
    <row r="581" customFormat="false" ht="15" hidden="false" customHeight="false" outlineLevel="0" collapsed="false">
      <c r="A581" s="4" t="s">
        <v>3059</v>
      </c>
      <c r="B581" s="4" t="s">
        <v>3943</v>
      </c>
      <c r="C581" s="4" t="s">
        <v>3923</v>
      </c>
      <c r="D581" s="4" t="s">
        <v>3926</v>
      </c>
      <c r="E581" s="7" t="n">
        <v>1</v>
      </c>
    </row>
    <row r="582" customFormat="false" ht="15" hidden="false" customHeight="false" outlineLevel="0" collapsed="false">
      <c r="A582" s="4" t="s">
        <v>3067</v>
      </c>
      <c r="B582" s="4" t="s">
        <v>3941</v>
      </c>
      <c r="C582" s="4" t="s">
        <v>3923</v>
      </c>
      <c r="D582" s="4" t="s">
        <v>3924</v>
      </c>
      <c r="E582" s="7" t="n">
        <v>1</v>
      </c>
    </row>
    <row r="583" customFormat="false" ht="15" hidden="false" customHeight="false" outlineLevel="0" collapsed="false">
      <c r="A583" s="4" t="s">
        <v>3067</v>
      </c>
      <c r="B583" s="4" t="s">
        <v>3932</v>
      </c>
      <c r="C583" s="4" t="s">
        <v>3923</v>
      </c>
      <c r="D583" s="4" t="s">
        <v>3926</v>
      </c>
      <c r="E583" s="7" t="n">
        <v>2</v>
      </c>
    </row>
    <row r="584" customFormat="false" ht="15" hidden="false" customHeight="false" outlineLevel="0" collapsed="false">
      <c r="A584" s="4" t="s">
        <v>3067</v>
      </c>
      <c r="B584" s="4" t="s">
        <v>3939</v>
      </c>
      <c r="C584" s="4" t="s">
        <v>3923</v>
      </c>
      <c r="D584" s="4" t="s">
        <v>3933</v>
      </c>
      <c r="E584" s="7" t="n">
        <v>3</v>
      </c>
    </row>
    <row r="585" customFormat="false" ht="15" hidden="false" customHeight="false" outlineLevel="0" collapsed="false">
      <c r="A585" s="4" t="s">
        <v>3075</v>
      </c>
      <c r="B585" s="4" t="s">
        <v>3927</v>
      </c>
      <c r="C585" s="4" t="s">
        <v>3923</v>
      </c>
      <c r="D585" s="4" t="s">
        <v>3926</v>
      </c>
      <c r="E585" s="7" t="n">
        <v>3</v>
      </c>
    </row>
    <row r="586" customFormat="false" ht="15" hidden="false" customHeight="false" outlineLevel="0" collapsed="false">
      <c r="A586" s="4" t="s">
        <v>3075</v>
      </c>
      <c r="B586" s="4" t="s">
        <v>3939</v>
      </c>
      <c r="C586" s="4" t="s">
        <v>3923</v>
      </c>
      <c r="D586" s="4" t="s">
        <v>3926</v>
      </c>
      <c r="E586" s="7" t="n">
        <v>4</v>
      </c>
    </row>
    <row r="587" customFormat="false" ht="15" hidden="false" customHeight="false" outlineLevel="0" collapsed="false">
      <c r="A587" s="4" t="s">
        <v>3083</v>
      </c>
      <c r="B587" s="4" t="s">
        <v>3927</v>
      </c>
      <c r="C587" s="4" t="s">
        <v>3923</v>
      </c>
      <c r="D587" s="4" t="s">
        <v>3933</v>
      </c>
      <c r="E587" s="7" t="n">
        <v>3</v>
      </c>
    </row>
    <row r="588" customFormat="false" ht="15" hidden="false" customHeight="false" outlineLevel="0" collapsed="false">
      <c r="A588" s="4" t="s">
        <v>3083</v>
      </c>
      <c r="B588" s="4" t="s">
        <v>3929</v>
      </c>
      <c r="C588" s="4" t="s">
        <v>3923</v>
      </c>
      <c r="D588" s="4" t="s">
        <v>3926</v>
      </c>
      <c r="E588" s="7" t="n">
        <v>4</v>
      </c>
    </row>
    <row r="589" customFormat="false" ht="15" hidden="false" customHeight="false" outlineLevel="0" collapsed="false">
      <c r="A589" s="4" t="s">
        <v>3083</v>
      </c>
      <c r="B589" s="4" t="s">
        <v>3936</v>
      </c>
      <c r="C589" s="4" t="s">
        <v>3923</v>
      </c>
      <c r="D589" s="4" t="s">
        <v>3935</v>
      </c>
      <c r="E589" s="7" t="n">
        <v>3</v>
      </c>
    </row>
    <row r="590" customFormat="false" ht="15" hidden="false" customHeight="false" outlineLevel="0" collapsed="false">
      <c r="A590" s="4" t="s">
        <v>3090</v>
      </c>
      <c r="B590" s="4" t="s">
        <v>3941</v>
      </c>
      <c r="C590" s="4" t="s">
        <v>3923</v>
      </c>
      <c r="D590" s="4" t="s">
        <v>3937</v>
      </c>
      <c r="E590" s="7" t="n">
        <v>4</v>
      </c>
    </row>
    <row r="591" customFormat="false" ht="15" hidden="false" customHeight="false" outlineLevel="0" collapsed="false">
      <c r="A591" s="4" t="s">
        <v>3090</v>
      </c>
      <c r="B591" s="4" t="s">
        <v>3943</v>
      </c>
      <c r="C591" s="4" t="s">
        <v>3923</v>
      </c>
      <c r="D591" s="4" t="s">
        <v>3933</v>
      </c>
      <c r="E591" s="7" t="n">
        <v>3</v>
      </c>
    </row>
    <row r="592" customFormat="false" ht="15" hidden="false" customHeight="false" outlineLevel="0" collapsed="false">
      <c r="A592" s="4" t="s">
        <v>3098</v>
      </c>
      <c r="B592" s="4" t="s">
        <v>3946</v>
      </c>
      <c r="C592" s="4" t="s">
        <v>3923</v>
      </c>
      <c r="D592" s="4" t="s">
        <v>3928</v>
      </c>
      <c r="E592" s="7" t="n">
        <v>2</v>
      </c>
    </row>
    <row r="593" customFormat="false" ht="15" hidden="false" customHeight="false" outlineLevel="0" collapsed="false">
      <c r="A593" s="4" t="s">
        <v>3098</v>
      </c>
      <c r="B593" s="4" t="s">
        <v>3927</v>
      </c>
      <c r="C593" s="4" t="s">
        <v>3923</v>
      </c>
      <c r="D593" s="4" t="s">
        <v>3926</v>
      </c>
      <c r="E593" s="7" t="n">
        <v>3</v>
      </c>
    </row>
    <row r="594" customFormat="false" ht="15" hidden="false" customHeight="false" outlineLevel="0" collapsed="false">
      <c r="A594" s="4" t="s">
        <v>3114</v>
      </c>
      <c r="B594" s="4" t="s">
        <v>3946</v>
      </c>
      <c r="C594" s="4" t="s">
        <v>3923</v>
      </c>
      <c r="D594" s="4" t="s">
        <v>3924</v>
      </c>
      <c r="E594" s="7" t="n">
        <v>1</v>
      </c>
    </row>
    <row r="595" customFormat="false" ht="15" hidden="false" customHeight="false" outlineLevel="0" collapsed="false">
      <c r="A595" s="4" t="s">
        <v>3122</v>
      </c>
      <c r="B595" s="4" t="s">
        <v>3942</v>
      </c>
      <c r="C595" s="4" t="s">
        <v>3923</v>
      </c>
      <c r="D595" s="4" t="s">
        <v>3935</v>
      </c>
      <c r="E595" s="7" t="n">
        <v>4</v>
      </c>
    </row>
    <row r="596" customFormat="false" ht="15" hidden="false" customHeight="false" outlineLevel="0" collapsed="false">
      <c r="A596" s="4" t="s">
        <v>3122</v>
      </c>
      <c r="B596" s="4" t="s">
        <v>3946</v>
      </c>
      <c r="C596" s="4" t="s">
        <v>3923</v>
      </c>
      <c r="D596" s="4" t="s">
        <v>3926</v>
      </c>
      <c r="E596" s="7" t="n">
        <v>2</v>
      </c>
    </row>
    <row r="597" customFormat="false" ht="15" hidden="false" customHeight="false" outlineLevel="0" collapsed="false">
      <c r="A597" s="4" t="s">
        <v>3122</v>
      </c>
      <c r="B597" s="4" t="s">
        <v>3944</v>
      </c>
      <c r="C597" s="4" t="s">
        <v>3923</v>
      </c>
      <c r="D597" s="4" t="s">
        <v>3928</v>
      </c>
      <c r="E597" s="7" t="n">
        <v>2</v>
      </c>
    </row>
    <row r="598" customFormat="false" ht="15" hidden="false" customHeight="false" outlineLevel="0" collapsed="false">
      <c r="A598" s="4" t="s">
        <v>3129</v>
      </c>
      <c r="B598" s="4" t="s">
        <v>3944</v>
      </c>
      <c r="C598" s="4" t="s">
        <v>3923</v>
      </c>
      <c r="D598" s="4" t="s">
        <v>3933</v>
      </c>
      <c r="E598" s="7" t="n">
        <v>4</v>
      </c>
    </row>
    <row r="599" customFormat="false" ht="15" hidden="false" customHeight="false" outlineLevel="0" collapsed="false">
      <c r="A599" s="4" t="s">
        <v>3129</v>
      </c>
      <c r="B599" s="4" t="s">
        <v>3946</v>
      </c>
      <c r="C599" s="4" t="s">
        <v>3923</v>
      </c>
      <c r="D599" s="4" t="s">
        <v>3935</v>
      </c>
      <c r="E599" s="7" t="n">
        <v>4</v>
      </c>
    </row>
    <row r="600" customFormat="false" ht="15" hidden="false" customHeight="false" outlineLevel="0" collapsed="false">
      <c r="A600" s="4" t="s">
        <v>3129</v>
      </c>
      <c r="B600" s="4" t="s">
        <v>3929</v>
      </c>
      <c r="C600" s="4" t="s">
        <v>3923</v>
      </c>
      <c r="D600" s="4" t="s">
        <v>3933</v>
      </c>
      <c r="E600" s="7" t="n">
        <v>3</v>
      </c>
    </row>
    <row r="601" customFormat="false" ht="15" hidden="false" customHeight="false" outlineLevel="0" collapsed="false">
      <c r="A601" s="4" t="s">
        <v>3137</v>
      </c>
      <c r="B601" s="4" t="s">
        <v>3944</v>
      </c>
      <c r="C601" s="4" t="s">
        <v>3923</v>
      </c>
      <c r="D601" s="4" t="s">
        <v>3926</v>
      </c>
      <c r="E601" s="7" t="n">
        <v>4</v>
      </c>
    </row>
    <row r="602" customFormat="false" ht="15" hidden="false" customHeight="false" outlineLevel="0" collapsed="false">
      <c r="A602" s="4" t="s">
        <v>3137</v>
      </c>
      <c r="B602" s="4" t="s">
        <v>3922</v>
      </c>
      <c r="C602" s="4" t="s">
        <v>3923</v>
      </c>
      <c r="D602" s="4" t="s">
        <v>3926</v>
      </c>
      <c r="E602" s="7" t="n">
        <v>2</v>
      </c>
    </row>
    <row r="603" customFormat="false" ht="15" hidden="false" customHeight="false" outlineLevel="0" collapsed="false">
      <c r="A603" s="4" t="s">
        <v>3144</v>
      </c>
      <c r="B603" s="4" t="s">
        <v>3945</v>
      </c>
      <c r="C603" s="4" t="s">
        <v>3923</v>
      </c>
      <c r="D603" s="4" t="s">
        <v>3926</v>
      </c>
      <c r="E603" s="7" t="n">
        <v>1</v>
      </c>
    </row>
    <row r="604" customFormat="false" ht="15" hidden="false" customHeight="false" outlineLevel="0" collapsed="false">
      <c r="A604" s="4" t="s">
        <v>3151</v>
      </c>
      <c r="B604" s="4" t="s">
        <v>3929</v>
      </c>
      <c r="C604" s="4" t="s">
        <v>3923</v>
      </c>
      <c r="D604" s="4" t="s">
        <v>3937</v>
      </c>
      <c r="E604" s="7" t="n">
        <v>2</v>
      </c>
    </row>
    <row r="605" customFormat="false" ht="15" hidden="false" customHeight="false" outlineLevel="0" collapsed="false">
      <c r="A605" s="4" t="s">
        <v>3159</v>
      </c>
      <c r="B605" s="4" t="s">
        <v>3936</v>
      </c>
      <c r="C605" s="4" t="s">
        <v>3923</v>
      </c>
      <c r="D605" s="4" t="s">
        <v>3926</v>
      </c>
      <c r="E605" s="7" t="n">
        <v>1</v>
      </c>
    </row>
    <row r="606" customFormat="false" ht="15" hidden="false" customHeight="false" outlineLevel="0" collapsed="false">
      <c r="A606" s="4" t="s">
        <v>3175</v>
      </c>
      <c r="B606" s="4" t="s">
        <v>3936</v>
      </c>
      <c r="C606" s="4" t="s">
        <v>3923</v>
      </c>
      <c r="D606" s="4" t="s">
        <v>3924</v>
      </c>
      <c r="E606" s="7" t="n">
        <v>1</v>
      </c>
    </row>
    <row r="607" customFormat="false" ht="15" hidden="false" customHeight="false" outlineLevel="0" collapsed="false">
      <c r="A607" s="4" t="s">
        <v>3175</v>
      </c>
      <c r="B607" s="4" t="s">
        <v>3931</v>
      </c>
      <c r="C607" s="4" t="s">
        <v>3923</v>
      </c>
      <c r="D607" s="4" t="s">
        <v>3937</v>
      </c>
      <c r="E607" s="7" t="n">
        <v>3</v>
      </c>
    </row>
    <row r="608" customFormat="false" ht="15" hidden="false" customHeight="false" outlineLevel="0" collapsed="false">
      <c r="A608" s="4" t="s">
        <v>3175</v>
      </c>
      <c r="B608" s="4" t="s">
        <v>3944</v>
      </c>
      <c r="C608" s="4" t="s">
        <v>3923</v>
      </c>
      <c r="D608" s="4" t="s">
        <v>3935</v>
      </c>
      <c r="E608" s="7" t="n">
        <v>4</v>
      </c>
    </row>
    <row r="609" customFormat="false" ht="15" hidden="false" customHeight="false" outlineLevel="0" collapsed="false">
      <c r="A609" s="4" t="s">
        <v>3183</v>
      </c>
      <c r="B609" s="4" t="s">
        <v>3930</v>
      </c>
      <c r="C609" s="4" t="s">
        <v>3923</v>
      </c>
      <c r="D609" s="4" t="s">
        <v>3926</v>
      </c>
      <c r="E609" s="7" t="n">
        <v>3</v>
      </c>
    </row>
    <row r="610" customFormat="false" ht="15" hidden="false" customHeight="false" outlineLevel="0" collapsed="false">
      <c r="A610" s="4" t="s">
        <v>3191</v>
      </c>
      <c r="B610" s="4" t="s">
        <v>3929</v>
      </c>
      <c r="C610" s="4" t="s">
        <v>3923</v>
      </c>
      <c r="D610" s="4" t="s">
        <v>3924</v>
      </c>
      <c r="E610" s="7" t="n">
        <v>3</v>
      </c>
    </row>
    <row r="611" customFormat="false" ht="15" hidden="false" customHeight="false" outlineLevel="0" collapsed="false">
      <c r="A611" s="4" t="s">
        <v>3191</v>
      </c>
      <c r="B611" s="4" t="s">
        <v>3945</v>
      </c>
      <c r="C611" s="4" t="s">
        <v>3923</v>
      </c>
      <c r="D611" s="4" t="s">
        <v>3926</v>
      </c>
      <c r="E611" s="7" t="n">
        <v>3</v>
      </c>
    </row>
    <row r="612" customFormat="false" ht="15" hidden="false" customHeight="false" outlineLevel="0" collapsed="false">
      <c r="A612" s="4" t="s">
        <v>3199</v>
      </c>
      <c r="B612" s="4" t="s">
        <v>3936</v>
      </c>
      <c r="C612" s="4" t="s">
        <v>3923</v>
      </c>
      <c r="D612" s="4" t="s">
        <v>3926</v>
      </c>
      <c r="E612" s="7" t="n">
        <v>3</v>
      </c>
    </row>
    <row r="613" customFormat="false" ht="15" hidden="false" customHeight="false" outlineLevel="0" collapsed="false">
      <c r="A613" s="4" t="s">
        <v>3206</v>
      </c>
      <c r="B613" s="4" t="s">
        <v>3943</v>
      </c>
      <c r="C613" s="4" t="s">
        <v>3923</v>
      </c>
      <c r="D613" s="4" t="s">
        <v>3926</v>
      </c>
      <c r="E613" s="7" t="n">
        <v>1</v>
      </c>
    </row>
    <row r="614" customFormat="false" ht="15" hidden="false" customHeight="false" outlineLevel="0" collapsed="false">
      <c r="A614" s="4" t="s">
        <v>3220</v>
      </c>
      <c r="B614" s="4" t="s">
        <v>3934</v>
      </c>
      <c r="C614" s="4" t="s">
        <v>3923</v>
      </c>
      <c r="D614" s="4" t="s">
        <v>3926</v>
      </c>
      <c r="E614" s="7" t="n">
        <v>3</v>
      </c>
    </row>
    <row r="615" customFormat="false" ht="15" hidden="false" customHeight="false" outlineLevel="0" collapsed="false">
      <c r="A615" s="4" t="s">
        <v>3220</v>
      </c>
      <c r="B615" s="4" t="s">
        <v>3940</v>
      </c>
      <c r="C615" s="4" t="s">
        <v>3923</v>
      </c>
      <c r="D615" s="4" t="s">
        <v>3924</v>
      </c>
      <c r="E615" s="7" t="n">
        <v>2</v>
      </c>
    </row>
    <row r="616" customFormat="false" ht="15" hidden="false" customHeight="false" outlineLevel="0" collapsed="false">
      <c r="A616" s="4" t="s">
        <v>3228</v>
      </c>
      <c r="B616" s="4" t="s">
        <v>3943</v>
      </c>
      <c r="C616" s="4" t="s">
        <v>3923</v>
      </c>
      <c r="D616" s="4" t="s">
        <v>3926</v>
      </c>
      <c r="E616" s="7" t="n">
        <v>1</v>
      </c>
    </row>
    <row r="617" customFormat="false" ht="15" hidden="false" customHeight="false" outlineLevel="0" collapsed="false">
      <c r="A617" s="4" t="s">
        <v>3234</v>
      </c>
      <c r="B617" s="4" t="s">
        <v>3945</v>
      </c>
      <c r="C617" s="4" t="s">
        <v>3923</v>
      </c>
      <c r="D617" s="4" t="s">
        <v>3935</v>
      </c>
      <c r="E617" s="7" t="n">
        <v>2</v>
      </c>
    </row>
    <row r="618" customFormat="false" ht="15" hidden="false" customHeight="false" outlineLevel="0" collapsed="false">
      <c r="A618" s="4" t="s">
        <v>3241</v>
      </c>
      <c r="B618" s="4" t="s">
        <v>3938</v>
      </c>
      <c r="C618" s="4" t="s">
        <v>3923</v>
      </c>
      <c r="D618" s="4" t="s">
        <v>3937</v>
      </c>
      <c r="E618" s="7" t="n">
        <v>3</v>
      </c>
    </row>
    <row r="619" customFormat="false" ht="15" hidden="false" customHeight="false" outlineLevel="0" collapsed="false">
      <c r="A619" s="4" t="s">
        <v>3241</v>
      </c>
      <c r="B619" s="4" t="s">
        <v>3946</v>
      </c>
      <c r="C619" s="4" t="s">
        <v>3923</v>
      </c>
      <c r="D619" s="4" t="s">
        <v>3935</v>
      </c>
      <c r="E619" s="7" t="n">
        <v>2</v>
      </c>
    </row>
    <row r="620" customFormat="false" ht="15" hidden="false" customHeight="false" outlineLevel="0" collapsed="false">
      <c r="A620" s="4" t="s">
        <v>3248</v>
      </c>
      <c r="B620" s="4" t="s">
        <v>3927</v>
      </c>
      <c r="C620" s="4" t="s">
        <v>3923</v>
      </c>
      <c r="D620" s="4" t="s">
        <v>3926</v>
      </c>
      <c r="E620" s="7" t="n">
        <v>1</v>
      </c>
    </row>
    <row r="621" customFormat="false" ht="15" hidden="false" customHeight="false" outlineLevel="0" collapsed="false">
      <c r="A621" s="4" t="s">
        <v>3248</v>
      </c>
      <c r="B621" s="4" t="s">
        <v>3930</v>
      </c>
      <c r="C621" s="4" t="s">
        <v>3923</v>
      </c>
      <c r="D621" s="4" t="s">
        <v>3926</v>
      </c>
      <c r="E621" s="7" t="n">
        <v>3</v>
      </c>
    </row>
    <row r="622" customFormat="false" ht="15" hidden="false" customHeight="false" outlineLevel="0" collapsed="false">
      <c r="A622" s="4" t="s">
        <v>3264</v>
      </c>
      <c r="B622" s="4" t="s">
        <v>3946</v>
      </c>
      <c r="C622" s="4" t="s">
        <v>3923</v>
      </c>
      <c r="D622" s="4" t="s">
        <v>3933</v>
      </c>
      <c r="E622" s="7" t="n">
        <v>2</v>
      </c>
    </row>
    <row r="623" customFormat="false" ht="15" hidden="false" customHeight="false" outlineLevel="0" collapsed="false">
      <c r="A623" s="4" t="s">
        <v>3272</v>
      </c>
      <c r="B623" s="4" t="s">
        <v>3930</v>
      </c>
      <c r="C623" s="4" t="s">
        <v>3923</v>
      </c>
      <c r="D623" s="4" t="s">
        <v>3926</v>
      </c>
      <c r="E623" s="7" t="n">
        <v>2</v>
      </c>
    </row>
    <row r="624" customFormat="false" ht="15" hidden="false" customHeight="false" outlineLevel="0" collapsed="false">
      <c r="A624" s="4" t="s">
        <v>3272</v>
      </c>
      <c r="B624" s="4" t="s">
        <v>3931</v>
      </c>
      <c r="C624" s="4" t="s">
        <v>3923</v>
      </c>
      <c r="D624" s="4" t="s">
        <v>3926</v>
      </c>
      <c r="E624" s="7" t="n">
        <v>1</v>
      </c>
    </row>
    <row r="625" customFormat="false" ht="15" hidden="false" customHeight="false" outlineLevel="0" collapsed="false">
      <c r="A625" s="4" t="s">
        <v>3279</v>
      </c>
      <c r="B625" s="4" t="s">
        <v>3942</v>
      </c>
      <c r="C625" s="4" t="s">
        <v>3923</v>
      </c>
      <c r="D625" s="4" t="s">
        <v>3926</v>
      </c>
      <c r="E625" s="7" t="n">
        <v>4</v>
      </c>
    </row>
    <row r="626" customFormat="false" ht="15" hidden="false" customHeight="false" outlineLevel="0" collapsed="false">
      <c r="A626" s="4" t="s">
        <v>3279</v>
      </c>
      <c r="B626" s="4" t="s">
        <v>3940</v>
      </c>
      <c r="C626" s="4" t="s">
        <v>3923</v>
      </c>
      <c r="D626" s="4" t="s">
        <v>3926</v>
      </c>
      <c r="E626" s="7" t="n">
        <v>2</v>
      </c>
    </row>
    <row r="627" customFormat="false" ht="15" hidden="false" customHeight="false" outlineLevel="0" collapsed="false">
      <c r="A627" s="4" t="s">
        <v>3287</v>
      </c>
      <c r="B627" s="4" t="s">
        <v>3936</v>
      </c>
      <c r="C627" s="4" t="s">
        <v>3923</v>
      </c>
      <c r="D627" s="4" t="s">
        <v>3926</v>
      </c>
      <c r="E627" s="7" t="n">
        <v>1</v>
      </c>
    </row>
    <row r="628" customFormat="false" ht="15" hidden="false" customHeight="false" outlineLevel="0" collapsed="false">
      <c r="A628" s="4" t="s">
        <v>3295</v>
      </c>
      <c r="B628" s="4" t="s">
        <v>3941</v>
      </c>
      <c r="C628" s="4" t="s">
        <v>3923</v>
      </c>
      <c r="D628" s="4" t="s">
        <v>3926</v>
      </c>
      <c r="E628" s="7" t="n">
        <v>2</v>
      </c>
    </row>
    <row r="629" customFormat="false" ht="15" hidden="false" customHeight="false" outlineLevel="0" collapsed="false">
      <c r="A629" s="4" t="s">
        <v>3295</v>
      </c>
      <c r="B629" s="4" t="s">
        <v>3930</v>
      </c>
      <c r="C629" s="4" t="s">
        <v>3923</v>
      </c>
      <c r="D629" s="4" t="s">
        <v>3926</v>
      </c>
      <c r="E629" s="7" t="n">
        <v>2</v>
      </c>
    </row>
    <row r="630" customFormat="false" ht="15" hidden="false" customHeight="false" outlineLevel="0" collapsed="false">
      <c r="A630" s="4" t="s">
        <v>3303</v>
      </c>
      <c r="B630" s="4" t="s">
        <v>3938</v>
      </c>
      <c r="C630" s="4" t="s">
        <v>3923</v>
      </c>
      <c r="D630" s="4" t="s">
        <v>3928</v>
      </c>
      <c r="E630" s="7" t="n">
        <v>1</v>
      </c>
    </row>
    <row r="631" customFormat="false" ht="15" hidden="false" customHeight="false" outlineLevel="0" collapsed="false">
      <c r="A631" s="4" t="s">
        <v>3311</v>
      </c>
      <c r="B631" s="4" t="s">
        <v>3936</v>
      </c>
      <c r="C631" s="4" t="s">
        <v>3923</v>
      </c>
      <c r="D631" s="4" t="s">
        <v>3937</v>
      </c>
      <c r="E631" s="7" t="n">
        <v>3</v>
      </c>
    </row>
    <row r="632" customFormat="false" ht="15" hidden="false" customHeight="false" outlineLevel="0" collapsed="false">
      <c r="A632" s="4" t="s">
        <v>3311</v>
      </c>
      <c r="B632" s="4" t="s">
        <v>3943</v>
      </c>
      <c r="C632" s="4" t="s">
        <v>3923</v>
      </c>
      <c r="D632" s="4" t="s">
        <v>3926</v>
      </c>
      <c r="E632" s="7" t="n">
        <v>4</v>
      </c>
    </row>
    <row r="633" customFormat="false" ht="15" hidden="false" customHeight="false" outlineLevel="0" collapsed="false">
      <c r="A633" s="4" t="s">
        <v>3318</v>
      </c>
      <c r="B633" s="4" t="s">
        <v>3944</v>
      </c>
      <c r="C633" s="4" t="s">
        <v>3923</v>
      </c>
      <c r="D633" s="4" t="s">
        <v>3926</v>
      </c>
      <c r="E633" s="7" t="n">
        <v>3</v>
      </c>
    </row>
    <row r="634" customFormat="false" ht="15" hidden="false" customHeight="false" outlineLevel="0" collapsed="false">
      <c r="A634" s="4" t="s">
        <v>3318</v>
      </c>
      <c r="B634" s="4" t="s">
        <v>3934</v>
      </c>
      <c r="C634" s="4" t="s">
        <v>3923</v>
      </c>
      <c r="D634" s="4" t="s">
        <v>3926</v>
      </c>
      <c r="E634" s="7" t="n">
        <v>3</v>
      </c>
    </row>
    <row r="635" customFormat="false" ht="15" hidden="false" customHeight="false" outlineLevel="0" collapsed="false">
      <c r="A635" s="4" t="s">
        <v>3325</v>
      </c>
      <c r="B635" s="4" t="s">
        <v>3934</v>
      </c>
      <c r="C635" s="4" t="s">
        <v>3923</v>
      </c>
      <c r="D635" s="4" t="s">
        <v>3926</v>
      </c>
      <c r="E635" s="7" t="n">
        <v>1</v>
      </c>
    </row>
    <row r="636" customFormat="false" ht="15" hidden="false" customHeight="false" outlineLevel="0" collapsed="false">
      <c r="A636" s="4" t="s">
        <v>3333</v>
      </c>
      <c r="B636" s="4" t="s">
        <v>3930</v>
      </c>
      <c r="C636" s="4" t="s">
        <v>3923</v>
      </c>
      <c r="D636" s="4" t="s">
        <v>3926</v>
      </c>
      <c r="E636" s="7" t="n">
        <v>1</v>
      </c>
    </row>
    <row r="637" customFormat="false" ht="15" hidden="false" customHeight="false" outlineLevel="0" collapsed="false">
      <c r="A637" s="4" t="s">
        <v>3333</v>
      </c>
      <c r="B637" s="4" t="s">
        <v>3922</v>
      </c>
      <c r="C637" s="4" t="s">
        <v>3923</v>
      </c>
      <c r="D637" s="4" t="s">
        <v>3926</v>
      </c>
      <c r="E637" s="7" t="n">
        <v>4</v>
      </c>
    </row>
    <row r="638" customFormat="false" ht="15" hidden="false" customHeight="false" outlineLevel="0" collapsed="false">
      <c r="A638" s="4" t="s">
        <v>3340</v>
      </c>
      <c r="B638" s="4" t="s">
        <v>3934</v>
      </c>
      <c r="C638" s="4" t="s">
        <v>3923</v>
      </c>
      <c r="D638" s="4" t="s">
        <v>3924</v>
      </c>
      <c r="E638" s="7" t="n">
        <v>4</v>
      </c>
    </row>
    <row r="639" customFormat="false" ht="15" hidden="false" customHeight="false" outlineLevel="0" collapsed="false">
      <c r="A639" s="4" t="s">
        <v>3340</v>
      </c>
      <c r="B639" s="4" t="s">
        <v>3946</v>
      </c>
      <c r="C639" s="4" t="s">
        <v>3923</v>
      </c>
      <c r="D639" s="4" t="s">
        <v>3935</v>
      </c>
      <c r="E639" s="7" t="n">
        <v>3</v>
      </c>
    </row>
    <row r="640" customFormat="false" ht="15" hidden="false" customHeight="false" outlineLevel="0" collapsed="false">
      <c r="A640" s="4" t="s">
        <v>3340</v>
      </c>
      <c r="B640" s="4" t="s">
        <v>3927</v>
      </c>
      <c r="C640" s="4" t="s">
        <v>3923</v>
      </c>
      <c r="D640" s="4" t="s">
        <v>3933</v>
      </c>
      <c r="E640" s="7" t="n">
        <v>2</v>
      </c>
    </row>
    <row r="641" customFormat="false" ht="15" hidden="false" customHeight="false" outlineLevel="0" collapsed="false">
      <c r="A641" s="4" t="s">
        <v>3347</v>
      </c>
      <c r="B641" s="4" t="s">
        <v>3936</v>
      </c>
      <c r="C641" s="4" t="s">
        <v>3923</v>
      </c>
      <c r="D641" s="4" t="s">
        <v>3933</v>
      </c>
      <c r="E641" s="7" t="n">
        <v>1</v>
      </c>
    </row>
    <row r="642" customFormat="false" ht="15" hidden="false" customHeight="false" outlineLevel="0" collapsed="false">
      <c r="A642" s="4" t="s">
        <v>3347</v>
      </c>
      <c r="B642" s="4" t="s">
        <v>3945</v>
      </c>
      <c r="C642" s="4" t="s">
        <v>3923</v>
      </c>
      <c r="D642" s="4" t="s">
        <v>3937</v>
      </c>
      <c r="E642" s="7" t="n">
        <v>2</v>
      </c>
    </row>
    <row r="643" customFormat="false" ht="15" hidden="false" customHeight="false" outlineLevel="0" collapsed="false">
      <c r="A643" s="4" t="s">
        <v>3354</v>
      </c>
      <c r="B643" s="4" t="s">
        <v>3943</v>
      </c>
      <c r="C643" s="4" t="s">
        <v>3923</v>
      </c>
      <c r="D643" s="4" t="s">
        <v>3937</v>
      </c>
      <c r="E643" s="7" t="n">
        <v>3</v>
      </c>
    </row>
    <row r="644" customFormat="false" ht="15" hidden="false" customHeight="false" outlineLevel="0" collapsed="false">
      <c r="A644" s="4" t="s">
        <v>3354</v>
      </c>
      <c r="B644" s="4" t="s">
        <v>3939</v>
      </c>
      <c r="C644" s="4" t="s">
        <v>3923</v>
      </c>
      <c r="D644" s="4" t="s">
        <v>3926</v>
      </c>
      <c r="E644" s="7" t="n">
        <v>4</v>
      </c>
    </row>
    <row r="645" customFormat="false" ht="15" hidden="false" customHeight="false" outlineLevel="0" collapsed="false">
      <c r="A645" s="4" t="s">
        <v>3369</v>
      </c>
      <c r="B645" s="4" t="s">
        <v>3944</v>
      </c>
      <c r="C645" s="4" t="s">
        <v>3923</v>
      </c>
      <c r="D645" s="4" t="s">
        <v>3926</v>
      </c>
      <c r="E645" s="7" t="n">
        <v>3</v>
      </c>
    </row>
    <row r="646" customFormat="false" ht="15" hidden="false" customHeight="false" outlineLevel="0" collapsed="false">
      <c r="A646" s="4" t="s">
        <v>3369</v>
      </c>
      <c r="B646" s="4" t="s">
        <v>3938</v>
      </c>
      <c r="C646" s="4" t="s">
        <v>3923</v>
      </c>
      <c r="D646" s="4" t="s">
        <v>3933</v>
      </c>
      <c r="E646" s="7" t="n">
        <v>3</v>
      </c>
    </row>
    <row r="647" customFormat="false" ht="15" hidden="false" customHeight="false" outlineLevel="0" collapsed="false">
      <c r="A647" s="4" t="s">
        <v>3369</v>
      </c>
      <c r="B647" s="4" t="s">
        <v>3940</v>
      </c>
      <c r="C647" s="4" t="s">
        <v>3923</v>
      </c>
      <c r="D647" s="4" t="s">
        <v>3926</v>
      </c>
      <c r="E647" s="7" t="n">
        <v>1</v>
      </c>
    </row>
    <row r="648" customFormat="false" ht="15" hidden="false" customHeight="false" outlineLevel="0" collapsed="false">
      <c r="A648" s="4" t="s">
        <v>3377</v>
      </c>
      <c r="B648" s="4" t="s">
        <v>3922</v>
      </c>
      <c r="C648" s="4" t="s">
        <v>3923</v>
      </c>
      <c r="D648" s="4" t="s">
        <v>3926</v>
      </c>
      <c r="E648" s="7" t="n">
        <v>4</v>
      </c>
    </row>
    <row r="649" customFormat="false" ht="15" hidden="false" customHeight="false" outlineLevel="0" collapsed="false">
      <c r="A649" s="4" t="s">
        <v>3385</v>
      </c>
      <c r="B649" s="4" t="s">
        <v>3932</v>
      </c>
      <c r="C649" s="4" t="s">
        <v>3923</v>
      </c>
      <c r="D649" s="4" t="s">
        <v>3926</v>
      </c>
      <c r="E649" s="7" t="n">
        <v>3</v>
      </c>
    </row>
    <row r="650" customFormat="false" ht="15" hidden="false" customHeight="false" outlineLevel="0" collapsed="false">
      <c r="A650" s="4" t="s">
        <v>3385</v>
      </c>
      <c r="B650" s="4" t="s">
        <v>3925</v>
      </c>
      <c r="C650" s="4" t="s">
        <v>3923</v>
      </c>
      <c r="D650" s="4" t="s">
        <v>3933</v>
      </c>
      <c r="E650" s="7" t="n">
        <v>2</v>
      </c>
    </row>
    <row r="651" customFormat="false" ht="15" hidden="false" customHeight="false" outlineLevel="0" collapsed="false">
      <c r="A651" s="4" t="s">
        <v>3393</v>
      </c>
      <c r="B651" s="4" t="s">
        <v>3932</v>
      </c>
      <c r="C651" s="4" t="s">
        <v>3923</v>
      </c>
      <c r="D651" s="4" t="s">
        <v>3926</v>
      </c>
      <c r="E651" s="7" t="n">
        <v>3</v>
      </c>
    </row>
    <row r="652" customFormat="false" ht="15" hidden="false" customHeight="false" outlineLevel="0" collapsed="false">
      <c r="A652" s="4" t="s">
        <v>3399</v>
      </c>
      <c r="B652" s="4" t="s">
        <v>3943</v>
      </c>
      <c r="C652" s="4" t="s">
        <v>3923</v>
      </c>
      <c r="D652" s="4" t="s">
        <v>3926</v>
      </c>
      <c r="E652" s="7" t="n">
        <v>2</v>
      </c>
    </row>
    <row r="653" customFormat="false" ht="15" hidden="false" customHeight="false" outlineLevel="0" collapsed="false">
      <c r="A653" s="4" t="s">
        <v>3399</v>
      </c>
      <c r="B653" s="4" t="s">
        <v>3946</v>
      </c>
      <c r="C653" s="4" t="s">
        <v>3923</v>
      </c>
      <c r="D653" s="4" t="s">
        <v>3937</v>
      </c>
      <c r="E653" s="7" t="n">
        <v>1</v>
      </c>
    </row>
    <row r="654" customFormat="false" ht="15" hidden="false" customHeight="false" outlineLevel="0" collapsed="false">
      <c r="A654" s="4" t="s">
        <v>3421</v>
      </c>
      <c r="B654" s="4" t="s">
        <v>3940</v>
      </c>
      <c r="C654" s="4" t="s">
        <v>3923</v>
      </c>
      <c r="D654" s="4" t="s">
        <v>3933</v>
      </c>
      <c r="E654" s="7" t="n">
        <v>3</v>
      </c>
    </row>
    <row r="655" customFormat="false" ht="15" hidden="false" customHeight="false" outlineLevel="0" collapsed="false">
      <c r="A655" s="4" t="s">
        <v>3429</v>
      </c>
      <c r="B655" s="4" t="s">
        <v>3940</v>
      </c>
      <c r="C655" s="4" t="s">
        <v>3923</v>
      </c>
      <c r="D655" s="4" t="s">
        <v>3937</v>
      </c>
      <c r="E655" s="7" t="n">
        <v>2</v>
      </c>
    </row>
    <row r="656" customFormat="false" ht="15" hidden="false" customHeight="false" outlineLevel="0" collapsed="false">
      <c r="A656" s="4" t="s">
        <v>3429</v>
      </c>
      <c r="B656" s="4" t="s">
        <v>3942</v>
      </c>
      <c r="C656" s="4" t="s">
        <v>3923</v>
      </c>
      <c r="D656" s="4" t="s">
        <v>3926</v>
      </c>
      <c r="E656" s="7" t="n">
        <v>3</v>
      </c>
    </row>
    <row r="657" customFormat="false" ht="15" hidden="false" customHeight="false" outlineLevel="0" collapsed="false">
      <c r="A657" s="4" t="s">
        <v>3429</v>
      </c>
      <c r="B657" s="4" t="s">
        <v>3932</v>
      </c>
      <c r="C657" s="4" t="s">
        <v>3923</v>
      </c>
      <c r="D657" s="4" t="s">
        <v>3926</v>
      </c>
      <c r="E657" s="7" t="n">
        <v>3</v>
      </c>
    </row>
    <row r="658" customFormat="false" ht="15" hidden="false" customHeight="false" outlineLevel="0" collapsed="false">
      <c r="A658" s="4" t="s">
        <v>3453</v>
      </c>
      <c r="B658" s="4" t="s">
        <v>3942</v>
      </c>
      <c r="C658" s="4" t="s">
        <v>3923</v>
      </c>
      <c r="D658" s="4" t="s">
        <v>3935</v>
      </c>
      <c r="E658" s="7" t="n">
        <v>4</v>
      </c>
    </row>
    <row r="659" customFormat="false" ht="15" hidden="false" customHeight="false" outlineLevel="0" collapsed="false">
      <c r="A659" s="4" t="s">
        <v>3453</v>
      </c>
      <c r="B659" s="4" t="s">
        <v>3944</v>
      </c>
      <c r="C659" s="4" t="s">
        <v>3923</v>
      </c>
      <c r="D659" s="4" t="s">
        <v>3935</v>
      </c>
      <c r="E659" s="7" t="n">
        <v>3</v>
      </c>
    </row>
    <row r="660" customFormat="false" ht="15" hidden="false" customHeight="false" outlineLevel="0" collapsed="false">
      <c r="A660" s="4" t="s">
        <v>3460</v>
      </c>
      <c r="B660" s="4" t="s">
        <v>3945</v>
      </c>
      <c r="C660" s="4" t="s">
        <v>3923</v>
      </c>
      <c r="D660" s="4" t="s">
        <v>3926</v>
      </c>
      <c r="E660" s="7" t="n">
        <v>1</v>
      </c>
    </row>
    <row r="661" customFormat="false" ht="15" hidden="false" customHeight="false" outlineLevel="0" collapsed="false">
      <c r="A661" s="4" t="s">
        <v>3468</v>
      </c>
      <c r="B661" s="4" t="s">
        <v>3927</v>
      </c>
      <c r="C661" s="4" t="s">
        <v>3923</v>
      </c>
      <c r="D661" s="4" t="s">
        <v>3926</v>
      </c>
      <c r="E661" s="7" t="n">
        <v>3</v>
      </c>
    </row>
    <row r="662" customFormat="false" ht="15" hidden="false" customHeight="false" outlineLevel="0" collapsed="false">
      <c r="A662" s="4" t="s">
        <v>3468</v>
      </c>
      <c r="B662" s="4" t="s">
        <v>3929</v>
      </c>
      <c r="C662" s="4" t="s">
        <v>3923</v>
      </c>
      <c r="D662" s="4" t="s">
        <v>3926</v>
      </c>
      <c r="E662" s="7" t="n">
        <v>2</v>
      </c>
    </row>
    <row r="663" customFormat="false" ht="15" hidden="false" customHeight="false" outlineLevel="0" collapsed="false">
      <c r="A663" s="4" t="s">
        <v>3468</v>
      </c>
      <c r="B663" s="4" t="s">
        <v>3934</v>
      </c>
      <c r="C663" s="4" t="s">
        <v>3923</v>
      </c>
      <c r="D663" s="4" t="s">
        <v>3933</v>
      </c>
      <c r="E663" s="7" t="n">
        <v>3</v>
      </c>
    </row>
    <row r="664" customFormat="false" ht="15" hidden="false" customHeight="false" outlineLevel="0" collapsed="false">
      <c r="A664" s="4" t="s">
        <v>3475</v>
      </c>
      <c r="B664" s="4" t="s">
        <v>3936</v>
      </c>
      <c r="C664" s="4" t="s">
        <v>3923</v>
      </c>
      <c r="D664" s="4" t="s">
        <v>3926</v>
      </c>
      <c r="E664" s="7" t="n">
        <v>3</v>
      </c>
    </row>
    <row r="665" customFormat="false" ht="15" hidden="false" customHeight="false" outlineLevel="0" collapsed="false">
      <c r="A665" s="4" t="s">
        <v>3475</v>
      </c>
      <c r="B665" s="4" t="s">
        <v>3942</v>
      </c>
      <c r="C665" s="4" t="s">
        <v>3923</v>
      </c>
      <c r="D665" s="4" t="s">
        <v>3928</v>
      </c>
      <c r="E665" s="7" t="n">
        <v>2</v>
      </c>
    </row>
    <row r="666" customFormat="false" ht="15" hidden="false" customHeight="false" outlineLevel="0" collapsed="false">
      <c r="A666" s="4" t="s">
        <v>3483</v>
      </c>
      <c r="B666" s="4" t="s">
        <v>3930</v>
      </c>
      <c r="C666" s="4" t="s">
        <v>3923</v>
      </c>
      <c r="D666" s="4" t="s">
        <v>3937</v>
      </c>
      <c r="E666" s="7" t="n">
        <v>1</v>
      </c>
    </row>
    <row r="667" customFormat="false" ht="15" hidden="false" customHeight="false" outlineLevel="0" collapsed="false">
      <c r="A667" s="4" t="s">
        <v>3491</v>
      </c>
      <c r="B667" s="4" t="s">
        <v>3932</v>
      </c>
      <c r="C667" s="4" t="s">
        <v>3923</v>
      </c>
      <c r="D667" s="4" t="s">
        <v>3935</v>
      </c>
      <c r="E667" s="7" t="n">
        <v>1</v>
      </c>
    </row>
    <row r="668" customFormat="false" ht="15" hidden="false" customHeight="false" outlineLevel="0" collapsed="false">
      <c r="A668" s="4" t="s">
        <v>3491</v>
      </c>
      <c r="B668" s="4" t="s">
        <v>3927</v>
      </c>
      <c r="C668" s="4" t="s">
        <v>3923</v>
      </c>
      <c r="D668" s="4" t="s">
        <v>3926</v>
      </c>
      <c r="E668" s="7" t="n">
        <v>3</v>
      </c>
    </row>
    <row r="669" customFormat="false" ht="15" hidden="false" customHeight="false" outlineLevel="0" collapsed="false">
      <c r="A669" s="4" t="s">
        <v>3491</v>
      </c>
      <c r="B669" s="4" t="s">
        <v>3943</v>
      </c>
      <c r="C669" s="4" t="s">
        <v>3923</v>
      </c>
      <c r="D669" s="4" t="s">
        <v>3926</v>
      </c>
      <c r="E669" s="7" t="n">
        <v>1</v>
      </c>
    </row>
    <row r="670" customFormat="false" ht="15" hidden="false" customHeight="false" outlineLevel="0" collapsed="false">
      <c r="A670" s="4" t="s">
        <v>3497</v>
      </c>
      <c r="B670" s="4" t="s">
        <v>3931</v>
      </c>
      <c r="C670" s="4" t="s">
        <v>3923</v>
      </c>
      <c r="D670" s="4" t="s">
        <v>3926</v>
      </c>
      <c r="E670" s="7" t="n">
        <v>4</v>
      </c>
    </row>
    <row r="671" customFormat="false" ht="15" hidden="false" customHeight="false" outlineLevel="0" collapsed="false">
      <c r="A671" s="4" t="s">
        <v>3497</v>
      </c>
      <c r="B671" s="4" t="s">
        <v>3943</v>
      </c>
      <c r="C671" s="4" t="s">
        <v>3923</v>
      </c>
      <c r="D671" s="4" t="s">
        <v>3926</v>
      </c>
      <c r="E671" s="7" t="n">
        <v>1</v>
      </c>
    </row>
    <row r="672" customFormat="false" ht="15" hidden="false" customHeight="false" outlineLevel="0" collapsed="false">
      <c r="A672" s="4" t="s">
        <v>3505</v>
      </c>
      <c r="B672" s="4" t="s">
        <v>3940</v>
      </c>
      <c r="C672" s="4" t="s">
        <v>3923</v>
      </c>
      <c r="D672" s="4" t="s">
        <v>3928</v>
      </c>
      <c r="E672" s="7" t="n">
        <v>3</v>
      </c>
    </row>
    <row r="673" customFormat="false" ht="15" hidden="false" customHeight="false" outlineLevel="0" collapsed="false">
      <c r="A673" s="4" t="s">
        <v>3505</v>
      </c>
      <c r="B673" s="4" t="s">
        <v>3941</v>
      </c>
      <c r="C673" s="4" t="s">
        <v>3923</v>
      </c>
      <c r="D673" s="4" t="s">
        <v>3926</v>
      </c>
      <c r="E673" s="7" t="n">
        <v>4</v>
      </c>
    </row>
    <row r="674" customFormat="false" ht="15" hidden="false" customHeight="false" outlineLevel="0" collapsed="false">
      <c r="A674" s="4" t="s">
        <v>3513</v>
      </c>
      <c r="B674" s="4" t="s">
        <v>3929</v>
      </c>
      <c r="C674" s="4" t="s">
        <v>3923</v>
      </c>
      <c r="D674" s="4" t="s">
        <v>3937</v>
      </c>
      <c r="E674" s="7" t="n">
        <v>3</v>
      </c>
    </row>
    <row r="675" customFormat="false" ht="15" hidden="false" customHeight="false" outlineLevel="0" collapsed="false">
      <c r="A675" s="4" t="s">
        <v>3520</v>
      </c>
      <c r="B675" s="4" t="s">
        <v>3942</v>
      </c>
      <c r="C675" s="4" t="s">
        <v>3923</v>
      </c>
      <c r="D675" s="4" t="s">
        <v>3926</v>
      </c>
      <c r="E675" s="7" t="n">
        <v>1</v>
      </c>
    </row>
    <row r="676" customFormat="false" ht="15" hidden="false" customHeight="false" outlineLevel="0" collapsed="false">
      <c r="A676" s="4" t="s">
        <v>3527</v>
      </c>
      <c r="B676" s="4" t="s">
        <v>3943</v>
      </c>
      <c r="C676" s="4" t="s">
        <v>3923</v>
      </c>
      <c r="D676" s="4" t="s">
        <v>3926</v>
      </c>
      <c r="E676" s="7" t="n">
        <v>2</v>
      </c>
    </row>
    <row r="677" customFormat="false" ht="15" hidden="false" customHeight="false" outlineLevel="0" collapsed="false">
      <c r="A677" s="4" t="s">
        <v>3527</v>
      </c>
      <c r="B677" s="4" t="s">
        <v>3946</v>
      </c>
      <c r="C677" s="4" t="s">
        <v>3923</v>
      </c>
      <c r="D677" s="4" t="s">
        <v>3935</v>
      </c>
      <c r="E677" s="7" t="n">
        <v>3</v>
      </c>
    </row>
    <row r="678" customFormat="false" ht="15" hidden="false" customHeight="false" outlineLevel="0" collapsed="false">
      <c r="A678" s="4" t="s">
        <v>3533</v>
      </c>
      <c r="B678" s="4" t="s">
        <v>3931</v>
      </c>
      <c r="C678" s="4" t="s">
        <v>3923</v>
      </c>
      <c r="D678" s="4" t="s">
        <v>3924</v>
      </c>
      <c r="E678" s="7" t="n">
        <v>3</v>
      </c>
    </row>
    <row r="679" customFormat="false" ht="15" hidden="false" customHeight="false" outlineLevel="0" collapsed="false">
      <c r="A679" s="4" t="s">
        <v>3533</v>
      </c>
      <c r="B679" s="4" t="s">
        <v>3946</v>
      </c>
      <c r="C679" s="4" t="s">
        <v>3923</v>
      </c>
      <c r="D679" s="4" t="s">
        <v>3937</v>
      </c>
      <c r="E679" s="7" t="n">
        <v>3</v>
      </c>
    </row>
    <row r="680" customFormat="false" ht="15" hidden="false" customHeight="false" outlineLevel="0" collapsed="false">
      <c r="A680" s="4" t="s">
        <v>3533</v>
      </c>
      <c r="B680" s="4" t="s">
        <v>3922</v>
      </c>
      <c r="C680" s="4" t="s">
        <v>3923</v>
      </c>
      <c r="D680" s="4" t="s">
        <v>3926</v>
      </c>
      <c r="E680" s="7" t="n">
        <v>1</v>
      </c>
    </row>
    <row r="681" customFormat="false" ht="15" hidden="false" customHeight="false" outlineLevel="0" collapsed="false">
      <c r="A681" s="4" t="s">
        <v>3539</v>
      </c>
      <c r="B681" s="4" t="s">
        <v>3942</v>
      </c>
      <c r="C681" s="4" t="s">
        <v>3923</v>
      </c>
      <c r="D681" s="4" t="s">
        <v>3926</v>
      </c>
      <c r="E681" s="7" t="n">
        <v>1</v>
      </c>
    </row>
    <row r="682" customFormat="false" ht="15" hidden="false" customHeight="false" outlineLevel="0" collapsed="false">
      <c r="A682" s="4" t="s">
        <v>3547</v>
      </c>
      <c r="B682" s="4" t="s">
        <v>3946</v>
      </c>
      <c r="C682" s="4" t="s">
        <v>3923</v>
      </c>
      <c r="D682" s="4" t="s">
        <v>3926</v>
      </c>
      <c r="E682" s="7" t="n">
        <v>1</v>
      </c>
    </row>
    <row r="683" customFormat="false" ht="15" hidden="false" customHeight="false" outlineLevel="0" collapsed="false">
      <c r="A683" s="4" t="s">
        <v>3547</v>
      </c>
      <c r="B683" s="4" t="s">
        <v>3940</v>
      </c>
      <c r="C683" s="4" t="s">
        <v>3923</v>
      </c>
      <c r="D683" s="4" t="s">
        <v>3926</v>
      </c>
      <c r="E683" s="7" t="n">
        <v>1</v>
      </c>
    </row>
    <row r="684" customFormat="false" ht="15" hidden="false" customHeight="false" outlineLevel="0" collapsed="false">
      <c r="A684" s="4" t="s">
        <v>3547</v>
      </c>
      <c r="B684" s="4" t="s">
        <v>3945</v>
      </c>
      <c r="C684" s="4" t="s">
        <v>3923</v>
      </c>
      <c r="D684" s="4" t="s">
        <v>3928</v>
      </c>
      <c r="E684" s="7" t="n">
        <v>4</v>
      </c>
    </row>
    <row r="685" customFormat="false" ht="15" hidden="false" customHeight="false" outlineLevel="0" collapsed="false">
      <c r="A685" s="4" t="s">
        <v>3561</v>
      </c>
      <c r="B685" s="4" t="s">
        <v>3941</v>
      </c>
      <c r="C685" s="4" t="s">
        <v>3923</v>
      </c>
      <c r="D685" s="4" t="s">
        <v>3937</v>
      </c>
      <c r="E685" s="7" t="n">
        <v>1</v>
      </c>
    </row>
    <row r="686" customFormat="false" ht="15" hidden="false" customHeight="false" outlineLevel="0" collapsed="false">
      <c r="A686" s="4" t="s">
        <v>3577</v>
      </c>
      <c r="B686" s="4" t="s">
        <v>3925</v>
      </c>
      <c r="C686" s="4" t="s">
        <v>3923</v>
      </c>
      <c r="D686" s="4" t="s">
        <v>3926</v>
      </c>
      <c r="E686" s="7" t="n">
        <v>1</v>
      </c>
    </row>
    <row r="687" customFormat="false" ht="15" hidden="false" customHeight="false" outlineLevel="0" collapsed="false">
      <c r="A687" s="4" t="s">
        <v>3584</v>
      </c>
      <c r="B687" s="4" t="s">
        <v>3946</v>
      </c>
      <c r="C687" s="4" t="s">
        <v>3923</v>
      </c>
      <c r="D687" s="4" t="s">
        <v>3926</v>
      </c>
      <c r="E687" s="7" t="n">
        <v>2</v>
      </c>
    </row>
    <row r="688" customFormat="false" ht="15" hidden="false" customHeight="false" outlineLevel="0" collapsed="false">
      <c r="A688" s="4" t="s">
        <v>3584</v>
      </c>
      <c r="B688" s="4" t="s">
        <v>3945</v>
      </c>
      <c r="C688" s="4" t="s">
        <v>3923</v>
      </c>
      <c r="D688" s="4" t="s">
        <v>3926</v>
      </c>
      <c r="E688" s="7" t="n">
        <v>2</v>
      </c>
    </row>
    <row r="689" customFormat="false" ht="15" hidden="false" customHeight="false" outlineLevel="0" collapsed="false">
      <c r="A689" s="4" t="s">
        <v>3592</v>
      </c>
      <c r="B689" s="4" t="s">
        <v>3946</v>
      </c>
      <c r="C689" s="4" t="s">
        <v>3923</v>
      </c>
      <c r="D689" s="4" t="s">
        <v>3926</v>
      </c>
      <c r="E689" s="7" t="n">
        <v>4</v>
      </c>
    </row>
    <row r="690" customFormat="false" ht="15" hidden="false" customHeight="false" outlineLevel="0" collapsed="false">
      <c r="A690" s="4" t="s">
        <v>3592</v>
      </c>
      <c r="B690" s="4" t="s">
        <v>3939</v>
      </c>
      <c r="C690" s="4" t="s">
        <v>3923</v>
      </c>
      <c r="D690" s="4" t="s">
        <v>3926</v>
      </c>
      <c r="E690" s="7" t="n">
        <v>4</v>
      </c>
    </row>
    <row r="691" customFormat="false" ht="15" hidden="false" customHeight="false" outlineLevel="0" collapsed="false">
      <c r="A691" s="4" t="s">
        <v>3600</v>
      </c>
      <c r="B691" s="4" t="s">
        <v>3944</v>
      </c>
      <c r="C691" s="4" t="s">
        <v>3923</v>
      </c>
      <c r="D691" s="4" t="s">
        <v>3926</v>
      </c>
      <c r="E691" s="7" t="n">
        <v>4</v>
      </c>
    </row>
    <row r="692" customFormat="false" ht="15" hidden="false" customHeight="false" outlineLevel="0" collapsed="false">
      <c r="A692" s="4" t="s">
        <v>3600</v>
      </c>
      <c r="B692" s="4" t="s">
        <v>3946</v>
      </c>
      <c r="C692" s="4" t="s">
        <v>3923</v>
      </c>
      <c r="D692" s="4" t="s">
        <v>3926</v>
      </c>
      <c r="E692" s="7" t="n">
        <v>3</v>
      </c>
    </row>
    <row r="693" customFormat="false" ht="15" hidden="false" customHeight="false" outlineLevel="0" collapsed="false">
      <c r="A693" s="4" t="s">
        <v>3607</v>
      </c>
      <c r="B693" s="4" t="s">
        <v>3929</v>
      </c>
      <c r="C693" s="4" t="s">
        <v>3923</v>
      </c>
      <c r="D693" s="4" t="s">
        <v>3933</v>
      </c>
      <c r="E693" s="7" t="n">
        <v>2</v>
      </c>
    </row>
    <row r="694" customFormat="false" ht="15" hidden="false" customHeight="false" outlineLevel="0" collapsed="false">
      <c r="A694" s="4" t="s">
        <v>3607</v>
      </c>
      <c r="B694" s="4" t="s">
        <v>3944</v>
      </c>
      <c r="C694" s="4" t="s">
        <v>3923</v>
      </c>
      <c r="D694" s="4" t="s">
        <v>3926</v>
      </c>
      <c r="E694" s="7" t="n">
        <v>1</v>
      </c>
    </row>
    <row r="695" customFormat="false" ht="15" hidden="false" customHeight="false" outlineLevel="0" collapsed="false">
      <c r="A695" s="4" t="s">
        <v>3614</v>
      </c>
      <c r="B695" s="4" t="s">
        <v>3936</v>
      </c>
      <c r="C695" s="4" t="s">
        <v>3923</v>
      </c>
      <c r="D695" s="4" t="s">
        <v>3933</v>
      </c>
      <c r="E695" s="7" t="n">
        <v>3</v>
      </c>
    </row>
    <row r="696" customFormat="false" ht="15" hidden="false" customHeight="false" outlineLevel="0" collapsed="false">
      <c r="A696" s="4" t="s">
        <v>3614</v>
      </c>
      <c r="B696" s="4" t="s">
        <v>3929</v>
      </c>
      <c r="C696" s="4" t="s">
        <v>3923</v>
      </c>
      <c r="D696" s="4" t="s">
        <v>3926</v>
      </c>
      <c r="E696" s="7" t="n">
        <v>2</v>
      </c>
    </row>
    <row r="697" customFormat="false" ht="15" hidden="false" customHeight="false" outlineLevel="0" collapsed="false">
      <c r="A697" s="4" t="s">
        <v>3622</v>
      </c>
      <c r="B697" s="4" t="s">
        <v>3936</v>
      </c>
      <c r="C697" s="4" t="s">
        <v>3923</v>
      </c>
      <c r="D697" s="4" t="s">
        <v>3926</v>
      </c>
      <c r="E697" s="7" t="n">
        <v>3</v>
      </c>
    </row>
    <row r="698" customFormat="false" ht="15" hidden="false" customHeight="false" outlineLevel="0" collapsed="false">
      <c r="A698" s="4" t="s">
        <v>3629</v>
      </c>
      <c r="B698" s="4" t="s">
        <v>3929</v>
      </c>
      <c r="C698" s="4" t="s">
        <v>3923</v>
      </c>
      <c r="D698" s="4" t="s">
        <v>3926</v>
      </c>
      <c r="E698" s="7" t="n">
        <v>3</v>
      </c>
    </row>
    <row r="699" customFormat="false" ht="15" hidden="false" customHeight="false" outlineLevel="0" collapsed="false">
      <c r="A699" s="4" t="s">
        <v>3644</v>
      </c>
      <c r="B699" s="4" t="s">
        <v>3946</v>
      </c>
      <c r="C699" s="4" t="s">
        <v>3923</v>
      </c>
      <c r="D699" s="4" t="s">
        <v>3926</v>
      </c>
      <c r="E699" s="7" t="n">
        <v>4</v>
      </c>
    </row>
    <row r="700" customFormat="false" ht="15" hidden="false" customHeight="false" outlineLevel="0" collapsed="false">
      <c r="A700" s="4" t="s">
        <v>3644</v>
      </c>
      <c r="B700" s="4" t="s">
        <v>3944</v>
      </c>
      <c r="C700" s="4" t="s">
        <v>3923</v>
      </c>
      <c r="D700" s="4" t="s">
        <v>3933</v>
      </c>
      <c r="E700" s="7" t="n">
        <v>3</v>
      </c>
    </row>
    <row r="701" customFormat="false" ht="15" hidden="false" customHeight="false" outlineLevel="0" collapsed="false">
      <c r="A701" s="4" t="s">
        <v>3644</v>
      </c>
      <c r="B701" s="4" t="s">
        <v>3938</v>
      </c>
      <c r="C701" s="4" t="s">
        <v>3923</v>
      </c>
      <c r="D701" s="4" t="s">
        <v>3937</v>
      </c>
      <c r="E701" s="7" t="n">
        <v>1</v>
      </c>
    </row>
    <row r="702" customFormat="false" ht="15" hidden="false" customHeight="false" outlineLevel="0" collapsed="false">
      <c r="A702" s="4" t="s">
        <v>3651</v>
      </c>
      <c r="B702" s="4" t="s">
        <v>3939</v>
      </c>
      <c r="C702" s="4" t="s">
        <v>3923</v>
      </c>
      <c r="D702" s="4" t="s">
        <v>3926</v>
      </c>
      <c r="E702" s="7" t="n">
        <v>2</v>
      </c>
    </row>
    <row r="703" customFormat="false" ht="15" hidden="false" customHeight="false" outlineLevel="0" collapsed="false">
      <c r="A703" s="4" t="s">
        <v>3651</v>
      </c>
      <c r="B703" s="4" t="s">
        <v>3925</v>
      </c>
      <c r="C703" s="4" t="s">
        <v>3923</v>
      </c>
      <c r="D703" s="4" t="s">
        <v>3937</v>
      </c>
      <c r="E703" s="7" t="n">
        <v>1</v>
      </c>
    </row>
    <row r="704" customFormat="false" ht="15" hidden="false" customHeight="false" outlineLevel="0" collapsed="false">
      <c r="A704" s="4" t="s">
        <v>3658</v>
      </c>
      <c r="B704" s="4" t="s">
        <v>3929</v>
      </c>
      <c r="C704" s="4" t="s">
        <v>3923</v>
      </c>
      <c r="D704" s="4" t="s">
        <v>3937</v>
      </c>
      <c r="E704" s="7" t="n">
        <v>4</v>
      </c>
    </row>
    <row r="705" customFormat="false" ht="15" hidden="false" customHeight="false" outlineLevel="0" collapsed="false">
      <c r="A705" s="4" t="s">
        <v>3658</v>
      </c>
      <c r="B705" s="4" t="s">
        <v>3934</v>
      </c>
      <c r="C705" s="4" t="s">
        <v>3923</v>
      </c>
      <c r="D705" s="4" t="s">
        <v>3926</v>
      </c>
      <c r="E705" s="7" t="n">
        <v>3</v>
      </c>
    </row>
    <row r="706" customFormat="false" ht="15" hidden="false" customHeight="false" outlineLevel="0" collapsed="false">
      <c r="A706" s="4" t="s">
        <v>3666</v>
      </c>
      <c r="B706" s="4" t="s">
        <v>3936</v>
      </c>
      <c r="C706" s="4" t="s">
        <v>3923</v>
      </c>
      <c r="D706" s="4" t="s">
        <v>3926</v>
      </c>
      <c r="E706" s="7" t="n">
        <v>1</v>
      </c>
    </row>
    <row r="707" customFormat="false" ht="15" hidden="false" customHeight="false" outlineLevel="0" collapsed="false">
      <c r="A707" s="4" t="s">
        <v>3673</v>
      </c>
      <c r="B707" s="4" t="s">
        <v>3925</v>
      </c>
      <c r="C707" s="4" t="s">
        <v>3923</v>
      </c>
      <c r="D707" s="4" t="s">
        <v>3926</v>
      </c>
      <c r="E707" s="7" t="n">
        <v>2</v>
      </c>
    </row>
    <row r="708" customFormat="false" ht="15" hidden="false" customHeight="false" outlineLevel="0" collapsed="false">
      <c r="A708" s="4" t="s">
        <v>3680</v>
      </c>
      <c r="B708" s="4" t="s">
        <v>3946</v>
      </c>
      <c r="C708" s="4" t="s">
        <v>3923</v>
      </c>
      <c r="D708" s="4" t="s">
        <v>3935</v>
      </c>
      <c r="E708" s="7" t="n">
        <v>3</v>
      </c>
    </row>
    <row r="709" customFormat="false" ht="15" hidden="false" customHeight="false" outlineLevel="0" collapsed="false">
      <c r="A709" s="4" t="s">
        <v>3687</v>
      </c>
      <c r="B709" s="4" t="s">
        <v>3940</v>
      </c>
      <c r="C709" s="4" t="s">
        <v>3923</v>
      </c>
      <c r="D709" s="4" t="s">
        <v>3933</v>
      </c>
      <c r="E709" s="7" t="n">
        <v>2</v>
      </c>
    </row>
    <row r="710" customFormat="false" ht="15" hidden="false" customHeight="false" outlineLevel="0" collapsed="false">
      <c r="A710" s="4" t="s">
        <v>3687</v>
      </c>
      <c r="B710" s="4" t="s">
        <v>3938</v>
      </c>
      <c r="C710" s="4" t="s">
        <v>3923</v>
      </c>
      <c r="D710" s="4" t="s">
        <v>3926</v>
      </c>
      <c r="E710" s="7" t="n">
        <v>1</v>
      </c>
    </row>
    <row r="711" customFormat="false" ht="15" hidden="false" customHeight="false" outlineLevel="0" collapsed="false">
      <c r="A711" s="4" t="s">
        <v>3687</v>
      </c>
      <c r="B711" s="4" t="s">
        <v>3942</v>
      </c>
      <c r="C711" s="4" t="s">
        <v>3923</v>
      </c>
      <c r="D711" s="4" t="s">
        <v>3926</v>
      </c>
      <c r="E711" s="7" t="n">
        <v>4</v>
      </c>
    </row>
    <row r="712" customFormat="false" ht="15" hidden="false" customHeight="false" outlineLevel="0" collapsed="false">
      <c r="A712" s="4" t="s">
        <v>3695</v>
      </c>
      <c r="B712" s="4" t="s">
        <v>3946</v>
      </c>
      <c r="C712" s="4" t="s">
        <v>3923</v>
      </c>
      <c r="D712" s="4" t="s">
        <v>3926</v>
      </c>
      <c r="E712" s="7" t="n">
        <v>4</v>
      </c>
    </row>
    <row r="713" customFormat="false" ht="15" hidden="false" customHeight="false" outlineLevel="0" collapsed="false">
      <c r="A713" s="4" t="s">
        <v>3702</v>
      </c>
      <c r="B713" s="4" t="s">
        <v>3944</v>
      </c>
      <c r="C713" s="4" t="s">
        <v>3923</v>
      </c>
      <c r="D713" s="4" t="s">
        <v>3926</v>
      </c>
      <c r="E713" s="7" t="n">
        <v>4</v>
      </c>
    </row>
    <row r="714" customFormat="false" ht="15" hidden="false" customHeight="false" outlineLevel="0" collapsed="false">
      <c r="A714" s="4" t="s">
        <v>3702</v>
      </c>
      <c r="B714" s="4" t="s">
        <v>3925</v>
      </c>
      <c r="C714" s="4" t="s">
        <v>3923</v>
      </c>
      <c r="D714" s="4" t="s">
        <v>3935</v>
      </c>
      <c r="E714" s="7" t="n">
        <v>4</v>
      </c>
    </row>
    <row r="715" customFormat="false" ht="15" hidden="false" customHeight="false" outlineLevel="0" collapsed="false">
      <c r="A715" s="4" t="s">
        <v>3718</v>
      </c>
      <c r="B715" s="4" t="s">
        <v>3929</v>
      </c>
      <c r="C715" s="4" t="s">
        <v>3923</v>
      </c>
      <c r="D715" s="4" t="s">
        <v>3926</v>
      </c>
      <c r="E715" s="7" t="n">
        <v>2</v>
      </c>
    </row>
    <row r="716" customFormat="false" ht="15" hidden="false" customHeight="false" outlineLevel="0" collapsed="false">
      <c r="A716" s="4" t="s">
        <v>3718</v>
      </c>
      <c r="B716" s="4" t="s">
        <v>3932</v>
      </c>
      <c r="C716" s="4" t="s">
        <v>3923</v>
      </c>
      <c r="D716" s="4" t="s">
        <v>3926</v>
      </c>
      <c r="E716" s="7" t="n">
        <v>1</v>
      </c>
    </row>
    <row r="717" customFormat="false" ht="15" hidden="false" customHeight="false" outlineLevel="0" collapsed="false">
      <c r="A717" s="4" t="s">
        <v>3726</v>
      </c>
      <c r="B717" s="4" t="s">
        <v>3941</v>
      </c>
      <c r="C717" s="4" t="s">
        <v>3923</v>
      </c>
      <c r="D717" s="4" t="s">
        <v>3926</v>
      </c>
      <c r="E717" s="7" t="n">
        <v>3</v>
      </c>
    </row>
    <row r="718" customFormat="false" ht="15" hidden="false" customHeight="false" outlineLevel="0" collapsed="false">
      <c r="A718" s="4" t="s">
        <v>3726</v>
      </c>
      <c r="B718" s="4" t="s">
        <v>3930</v>
      </c>
      <c r="C718" s="4" t="s">
        <v>3923</v>
      </c>
      <c r="D718" s="4" t="s">
        <v>3926</v>
      </c>
      <c r="E718" s="7" t="n">
        <v>1</v>
      </c>
    </row>
    <row r="719" customFormat="false" ht="15" hidden="false" customHeight="false" outlineLevel="0" collapsed="false">
      <c r="A719" s="4" t="s">
        <v>3733</v>
      </c>
      <c r="B719" s="4" t="s">
        <v>3944</v>
      </c>
      <c r="C719" s="4" t="s">
        <v>3923</v>
      </c>
      <c r="D719" s="4" t="s">
        <v>3935</v>
      </c>
      <c r="E719" s="7" t="n">
        <v>3</v>
      </c>
    </row>
    <row r="720" customFormat="false" ht="15" hidden="false" customHeight="false" outlineLevel="0" collapsed="false">
      <c r="A720" s="4" t="s">
        <v>3748</v>
      </c>
      <c r="B720" s="4" t="s">
        <v>3936</v>
      </c>
      <c r="C720" s="4" t="s">
        <v>3923</v>
      </c>
      <c r="D720" s="4" t="s">
        <v>3924</v>
      </c>
      <c r="E720" s="7" t="n">
        <v>1</v>
      </c>
    </row>
    <row r="721" customFormat="false" ht="15" hidden="false" customHeight="false" outlineLevel="0" collapsed="false">
      <c r="A721" s="4" t="s">
        <v>3748</v>
      </c>
      <c r="B721" s="4" t="s">
        <v>3925</v>
      </c>
      <c r="C721" s="4" t="s">
        <v>3923</v>
      </c>
      <c r="D721" s="4" t="s">
        <v>3928</v>
      </c>
      <c r="E721" s="7" t="n">
        <v>2</v>
      </c>
    </row>
    <row r="722" customFormat="false" ht="15" hidden="false" customHeight="false" outlineLevel="0" collapsed="false">
      <c r="A722" s="4" t="s">
        <v>3755</v>
      </c>
      <c r="B722" s="4" t="s">
        <v>3941</v>
      </c>
      <c r="C722" s="4" t="s">
        <v>3923</v>
      </c>
      <c r="D722" s="4" t="s">
        <v>3926</v>
      </c>
      <c r="E722" s="7" t="n">
        <v>1</v>
      </c>
    </row>
    <row r="723" customFormat="false" ht="15" hidden="false" customHeight="false" outlineLevel="0" collapsed="false">
      <c r="A723" s="4" t="s">
        <v>3755</v>
      </c>
      <c r="B723" s="4" t="s">
        <v>3922</v>
      </c>
      <c r="C723" s="4" t="s">
        <v>3923</v>
      </c>
      <c r="D723" s="4" t="s">
        <v>3935</v>
      </c>
      <c r="E723" s="7" t="n">
        <v>4</v>
      </c>
    </row>
    <row r="724" customFormat="false" ht="15" hidden="false" customHeight="false" outlineLevel="0" collapsed="false">
      <c r="A724" s="4" t="s">
        <v>3762</v>
      </c>
      <c r="B724" s="4" t="s">
        <v>3936</v>
      </c>
      <c r="C724" s="4" t="s">
        <v>3923</v>
      </c>
      <c r="D724" s="4" t="s">
        <v>3935</v>
      </c>
      <c r="E724" s="7" t="n">
        <v>3</v>
      </c>
    </row>
    <row r="725" customFormat="false" ht="15" hidden="false" customHeight="false" outlineLevel="0" collapsed="false">
      <c r="A725" s="4" t="s">
        <v>3777</v>
      </c>
      <c r="B725" s="4" t="s">
        <v>3945</v>
      </c>
      <c r="C725" s="4" t="s">
        <v>3923</v>
      </c>
      <c r="D725" s="4" t="s">
        <v>3926</v>
      </c>
      <c r="E725" s="7" t="n">
        <v>3</v>
      </c>
    </row>
    <row r="726" customFormat="false" ht="15" hidden="false" customHeight="false" outlineLevel="0" collapsed="false">
      <c r="A726" s="4" t="s">
        <v>3777</v>
      </c>
      <c r="B726" s="4" t="s">
        <v>3941</v>
      </c>
      <c r="C726" s="4" t="s">
        <v>3923</v>
      </c>
      <c r="D726" s="4" t="s">
        <v>3924</v>
      </c>
      <c r="E726" s="7" t="n">
        <v>4</v>
      </c>
    </row>
    <row r="727" customFormat="false" ht="15" hidden="false" customHeight="false" outlineLevel="0" collapsed="false">
      <c r="A727" s="4" t="s">
        <v>3793</v>
      </c>
      <c r="B727" s="4" t="s">
        <v>3946</v>
      </c>
      <c r="C727" s="4" t="s">
        <v>3923</v>
      </c>
      <c r="D727" s="4" t="s">
        <v>3926</v>
      </c>
      <c r="E727" s="7" t="n">
        <v>3</v>
      </c>
    </row>
    <row r="728" customFormat="false" ht="15" hidden="false" customHeight="false" outlineLevel="0" collapsed="false">
      <c r="A728" s="4" t="s">
        <v>3800</v>
      </c>
      <c r="B728" s="4" t="s">
        <v>3930</v>
      </c>
      <c r="C728" s="4" t="s">
        <v>3923</v>
      </c>
      <c r="D728" s="4" t="s">
        <v>3924</v>
      </c>
      <c r="E728" s="7" t="n">
        <v>1</v>
      </c>
    </row>
    <row r="729" customFormat="false" ht="15" hidden="false" customHeight="false" outlineLevel="0" collapsed="false">
      <c r="A729" s="4" t="s">
        <v>3808</v>
      </c>
      <c r="B729" s="4" t="s">
        <v>3940</v>
      </c>
      <c r="C729" s="4" t="s">
        <v>3923</v>
      </c>
      <c r="D729" s="4" t="s">
        <v>3924</v>
      </c>
      <c r="E729" s="7" t="n">
        <v>3</v>
      </c>
    </row>
    <row r="730" customFormat="false" ht="15" hidden="false" customHeight="false" outlineLevel="0" collapsed="false">
      <c r="A730" s="4" t="s">
        <v>3808</v>
      </c>
      <c r="B730" s="4" t="s">
        <v>3945</v>
      </c>
      <c r="C730" s="4" t="s">
        <v>3923</v>
      </c>
      <c r="D730" s="4" t="s">
        <v>3935</v>
      </c>
      <c r="E730" s="7" t="n">
        <v>3</v>
      </c>
    </row>
    <row r="731" customFormat="false" ht="15" hidden="false" customHeight="false" outlineLevel="0" collapsed="false">
      <c r="A731" s="4" t="s">
        <v>3808</v>
      </c>
      <c r="B731" s="4" t="s">
        <v>3938</v>
      </c>
      <c r="C731" s="4" t="s">
        <v>3923</v>
      </c>
      <c r="D731" s="4" t="s">
        <v>3926</v>
      </c>
      <c r="E731" s="7" t="n">
        <v>4</v>
      </c>
    </row>
    <row r="732" customFormat="false" ht="15" hidden="false" customHeight="false" outlineLevel="0" collapsed="false">
      <c r="A732" s="4" t="s">
        <v>3815</v>
      </c>
      <c r="B732" s="4" t="s">
        <v>3946</v>
      </c>
      <c r="C732" s="4" t="s">
        <v>3923</v>
      </c>
      <c r="D732" s="4" t="s">
        <v>3926</v>
      </c>
      <c r="E732" s="7" t="n">
        <v>2</v>
      </c>
    </row>
    <row r="733" customFormat="false" ht="15" hidden="false" customHeight="false" outlineLevel="0" collapsed="false">
      <c r="A733" s="4" t="s">
        <v>3815</v>
      </c>
      <c r="B733" s="4" t="s">
        <v>3943</v>
      </c>
      <c r="C733" s="4" t="s">
        <v>3923</v>
      </c>
      <c r="D733" s="4" t="s">
        <v>3926</v>
      </c>
      <c r="E733" s="7" t="n">
        <v>2</v>
      </c>
    </row>
    <row r="734" customFormat="false" ht="15" hidden="false" customHeight="false" outlineLevel="0" collapsed="false">
      <c r="A734" s="4" t="s">
        <v>3822</v>
      </c>
      <c r="B734" s="4" t="s">
        <v>3943</v>
      </c>
      <c r="C734" s="4" t="s">
        <v>3923</v>
      </c>
      <c r="D734" s="4" t="s">
        <v>3935</v>
      </c>
      <c r="E734" s="7" t="n">
        <v>4</v>
      </c>
    </row>
    <row r="735" customFormat="false" ht="15" hidden="false" customHeight="false" outlineLevel="0" collapsed="false">
      <c r="A735" s="4" t="s">
        <v>3830</v>
      </c>
      <c r="B735" s="4" t="s">
        <v>3938</v>
      </c>
      <c r="C735" s="4" t="s">
        <v>3923</v>
      </c>
      <c r="D735" s="4" t="s">
        <v>3928</v>
      </c>
      <c r="E735" s="7" t="n">
        <v>3</v>
      </c>
    </row>
    <row r="736" customFormat="false" ht="15" hidden="false" customHeight="false" outlineLevel="0" collapsed="false">
      <c r="A736" s="4" t="s">
        <v>3830</v>
      </c>
      <c r="B736" s="4" t="s">
        <v>3930</v>
      </c>
      <c r="C736" s="4" t="s">
        <v>3923</v>
      </c>
      <c r="D736" s="4" t="s">
        <v>3924</v>
      </c>
      <c r="E736" s="7" t="n">
        <v>3</v>
      </c>
    </row>
    <row r="737" customFormat="false" ht="15" hidden="false" customHeight="false" outlineLevel="0" collapsed="false">
      <c r="A737" s="4" t="s">
        <v>3837</v>
      </c>
      <c r="B737" s="4" t="s">
        <v>3922</v>
      </c>
      <c r="C737" s="4" t="s">
        <v>3923</v>
      </c>
      <c r="D737" s="4" t="s">
        <v>3926</v>
      </c>
      <c r="E737" s="7" t="n">
        <v>3</v>
      </c>
    </row>
    <row r="738" customFormat="false" ht="15" hidden="false" customHeight="false" outlineLevel="0" collapsed="false">
      <c r="A738" s="4" t="s">
        <v>3837</v>
      </c>
      <c r="B738" s="4" t="s">
        <v>3946</v>
      </c>
      <c r="C738" s="4" t="s">
        <v>3923</v>
      </c>
      <c r="D738" s="4" t="s">
        <v>3924</v>
      </c>
      <c r="E738" s="7" t="n">
        <v>2</v>
      </c>
    </row>
    <row r="739" customFormat="false" ht="15" hidden="false" customHeight="false" outlineLevel="0" collapsed="false">
      <c r="A739" s="4" t="s">
        <v>3844</v>
      </c>
      <c r="B739" s="4" t="s">
        <v>3945</v>
      </c>
      <c r="C739" s="4" t="s">
        <v>3923</v>
      </c>
      <c r="D739" s="4" t="s">
        <v>3935</v>
      </c>
      <c r="E739" s="7" t="n">
        <v>1</v>
      </c>
    </row>
    <row r="740" customFormat="false" ht="15" hidden="false" customHeight="false" outlineLevel="0" collapsed="false">
      <c r="A740" s="4" t="s">
        <v>3844</v>
      </c>
      <c r="B740" s="4" t="s">
        <v>3939</v>
      </c>
      <c r="C740" s="4" t="s">
        <v>3923</v>
      </c>
      <c r="D740" s="4" t="s">
        <v>3926</v>
      </c>
      <c r="E740" s="7" t="n">
        <v>4</v>
      </c>
    </row>
    <row r="741" customFormat="false" ht="15" hidden="false" customHeight="false" outlineLevel="0" collapsed="false">
      <c r="A741" s="4" t="s">
        <v>3844</v>
      </c>
      <c r="B741" s="4" t="s">
        <v>3934</v>
      </c>
      <c r="C741" s="4" t="s">
        <v>3923</v>
      </c>
      <c r="D741" s="4" t="s">
        <v>3926</v>
      </c>
      <c r="E741" s="7" t="n">
        <v>3</v>
      </c>
    </row>
    <row r="742" customFormat="false" ht="15" hidden="false" customHeight="false" outlineLevel="0" collapsed="false">
      <c r="A742" s="4" t="s">
        <v>3851</v>
      </c>
      <c r="B742" s="4" t="s">
        <v>3940</v>
      </c>
      <c r="C742" s="4" t="s">
        <v>3923</v>
      </c>
      <c r="D742" s="4" t="s">
        <v>3937</v>
      </c>
      <c r="E742" s="7" t="n">
        <v>3</v>
      </c>
    </row>
    <row r="743" customFormat="false" ht="15" hidden="false" customHeight="false" outlineLevel="0" collapsed="false">
      <c r="A743" s="4" t="s">
        <v>3851</v>
      </c>
      <c r="B743" s="4" t="s">
        <v>3930</v>
      </c>
      <c r="C743" s="4" t="s">
        <v>3923</v>
      </c>
      <c r="D743" s="4" t="s">
        <v>3926</v>
      </c>
      <c r="E743" s="7" t="n">
        <v>4</v>
      </c>
    </row>
    <row r="744" customFormat="false" ht="15" hidden="false" customHeight="false" outlineLevel="0" collapsed="false">
      <c r="A744" s="4" t="s">
        <v>3858</v>
      </c>
      <c r="B744" s="4" t="s">
        <v>3931</v>
      </c>
      <c r="C744" s="4" t="s">
        <v>3923</v>
      </c>
      <c r="D744" s="4" t="s">
        <v>3924</v>
      </c>
      <c r="E744" s="7" t="n">
        <v>2</v>
      </c>
    </row>
    <row r="745" customFormat="false" ht="15" hidden="false" customHeight="false" outlineLevel="0" collapsed="false">
      <c r="A745" s="4" t="s">
        <v>3858</v>
      </c>
      <c r="B745" s="4" t="s">
        <v>3942</v>
      </c>
      <c r="C745" s="4" t="s">
        <v>3923</v>
      </c>
      <c r="D745" s="4" t="s">
        <v>3935</v>
      </c>
      <c r="E745" s="7" t="n">
        <v>1</v>
      </c>
    </row>
    <row r="746" customFormat="false" ht="15" hidden="false" customHeight="false" outlineLevel="0" collapsed="false">
      <c r="A746" s="4" t="s">
        <v>3858</v>
      </c>
      <c r="B746" s="4" t="s">
        <v>3943</v>
      </c>
      <c r="C746" s="4" t="s">
        <v>3923</v>
      </c>
      <c r="D746" s="4" t="s">
        <v>3926</v>
      </c>
      <c r="E746" s="7" t="n">
        <v>1</v>
      </c>
    </row>
    <row r="747" customFormat="false" ht="15" hidden="false" customHeight="false" outlineLevel="0" collapsed="false">
      <c r="A747" s="4" t="s">
        <v>3866</v>
      </c>
      <c r="B747" s="4" t="s">
        <v>3944</v>
      </c>
      <c r="C747" s="4" t="s">
        <v>3923</v>
      </c>
      <c r="D747" s="4" t="s">
        <v>3926</v>
      </c>
      <c r="E747" s="7" t="n">
        <v>3</v>
      </c>
    </row>
    <row r="748" customFormat="false" ht="15" hidden="false" customHeight="false" outlineLevel="0" collapsed="false">
      <c r="A748" s="4" t="s">
        <v>3874</v>
      </c>
      <c r="B748" s="4" t="s">
        <v>3945</v>
      </c>
      <c r="C748" s="4" t="s">
        <v>3923</v>
      </c>
      <c r="D748" s="4" t="s">
        <v>3933</v>
      </c>
      <c r="E748" s="7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9"/>
  </cols>
  <sheetData>
    <row r="1" customFormat="false" ht="27.75" hidden="false" customHeight="true" outlineLevel="0" collapsed="false">
      <c r="A1" s="8" t="s">
        <v>25</v>
      </c>
      <c r="B1" s="8" t="s">
        <v>3947</v>
      </c>
      <c r="C1" s="8" t="s">
        <v>3948</v>
      </c>
      <c r="D1" s="8" t="s">
        <v>3949</v>
      </c>
      <c r="E1" s="8" t="s">
        <v>3950</v>
      </c>
    </row>
    <row r="2" customFormat="false" ht="15" hidden="false" customHeight="false" outlineLevel="0" collapsed="false">
      <c r="A2" s="4" t="s">
        <v>41</v>
      </c>
      <c r="B2" s="4" t="s">
        <v>3951</v>
      </c>
      <c r="C2" s="4" t="s">
        <v>3952</v>
      </c>
      <c r="D2" s="4" t="s">
        <v>3953</v>
      </c>
      <c r="E2" s="7" t="n">
        <v>2022</v>
      </c>
    </row>
    <row r="3" customFormat="false" ht="15" hidden="false" customHeight="false" outlineLevel="0" collapsed="false">
      <c r="A3" s="4" t="s">
        <v>41</v>
      </c>
      <c r="B3" s="4" t="s">
        <v>3954</v>
      </c>
      <c r="C3" s="4" t="s">
        <v>3955</v>
      </c>
      <c r="D3" s="4" t="s">
        <v>3956</v>
      </c>
      <c r="E3" s="7" t="n">
        <v>2022</v>
      </c>
    </row>
    <row r="4" customFormat="false" ht="15" hidden="false" customHeight="false" outlineLevel="0" collapsed="false">
      <c r="A4" s="4" t="s">
        <v>63</v>
      </c>
      <c r="B4" s="4" t="s">
        <v>3957</v>
      </c>
      <c r="C4" s="4" t="s">
        <v>3958</v>
      </c>
      <c r="D4" s="4" t="s">
        <v>3956</v>
      </c>
      <c r="E4" s="7" t="n">
        <v>2022</v>
      </c>
    </row>
    <row r="5" customFormat="false" ht="15" hidden="false" customHeight="false" outlineLevel="0" collapsed="false">
      <c r="A5" s="4" t="s">
        <v>63</v>
      </c>
      <c r="B5" s="4" t="s">
        <v>3959</v>
      </c>
      <c r="C5" s="4" t="s">
        <v>3960</v>
      </c>
      <c r="D5" s="4" t="s">
        <v>3953</v>
      </c>
      <c r="E5" s="7" t="n">
        <v>2025</v>
      </c>
    </row>
    <row r="6" customFormat="false" ht="15" hidden="false" customHeight="false" outlineLevel="0" collapsed="false">
      <c r="A6" s="4" t="s">
        <v>100</v>
      </c>
      <c r="B6" s="4" t="s">
        <v>3961</v>
      </c>
      <c r="C6" s="4" t="s">
        <v>3960</v>
      </c>
      <c r="D6" s="4" t="s">
        <v>3962</v>
      </c>
      <c r="E6" s="7" t="n">
        <v>2019</v>
      </c>
    </row>
    <row r="7" customFormat="false" ht="15" hidden="false" customHeight="false" outlineLevel="0" collapsed="false">
      <c r="A7" s="4" t="s">
        <v>100</v>
      </c>
      <c r="B7" s="4" t="s">
        <v>3963</v>
      </c>
      <c r="C7" s="4" t="s">
        <v>3958</v>
      </c>
      <c r="D7" s="4" t="s">
        <v>3964</v>
      </c>
      <c r="E7" s="7" t="n">
        <v>2021</v>
      </c>
    </row>
    <row r="8" customFormat="false" ht="15" hidden="false" customHeight="false" outlineLevel="0" collapsed="false">
      <c r="A8" s="4" t="s">
        <v>116</v>
      </c>
      <c r="B8" s="4" t="s">
        <v>3965</v>
      </c>
      <c r="C8" s="4" t="s">
        <v>3952</v>
      </c>
      <c r="D8" s="4" t="s">
        <v>3962</v>
      </c>
      <c r="E8" s="7" t="n">
        <v>2022</v>
      </c>
    </row>
    <row r="9" customFormat="false" ht="15" hidden="false" customHeight="false" outlineLevel="0" collapsed="false">
      <c r="A9" s="4" t="s">
        <v>124</v>
      </c>
      <c r="B9" s="4" t="s">
        <v>3954</v>
      </c>
      <c r="C9" s="4" t="s">
        <v>3958</v>
      </c>
      <c r="D9" s="4" t="s">
        <v>3964</v>
      </c>
      <c r="E9" s="7" t="n">
        <v>2023</v>
      </c>
    </row>
    <row r="10" customFormat="false" ht="15" hidden="false" customHeight="false" outlineLevel="0" collapsed="false">
      <c r="A10" s="4" t="s">
        <v>124</v>
      </c>
      <c r="B10" s="4" t="s">
        <v>3966</v>
      </c>
      <c r="C10" s="4" t="s">
        <v>3960</v>
      </c>
      <c r="D10" s="4" t="s">
        <v>3967</v>
      </c>
      <c r="E10" s="7" t="n">
        <v>2022</v>
      </c>
    </row>
    <row r="11" customFormat="false" ht="15" hidden="false" customHeight="false" outlineLevel="0" collapsed="false">
      <c r="A11" s="4" t="s">
        <v>132</v>
      </c>
      <c r="B11" s="4" t="s">
        <v>3963</v>
      </c>
      <c r="C11" s="4" t="s">
        <v>3960</v>
      </c>
      <c r="D11" s="4" t="s">
        <v>3968</v>
      </c>
      <c r="E11" s="7" t="n">
        <v>2023</v>
      </c>
    </row>
    <row r="12" customFormat="false" ht="15" hidden="false" customHeight="false" outlineLevel="0" collapsed="false">
      <c r="A12" s="4" t="s">
        <v>132</v>
      </c>
      <c r="B12" s="4" t="s">
        <v>3951</v>
      </c>
      <c r="C12" s="4" t="s">
        <v>3955</v>
      </c>
      <c r="D12" s="4" t="s">
        <v>3962</v>
      </c>
      <c r="E12" s="7" t="n">
        <v>2022</v>
      </c>
    </row>
    <row r="13" customFormat="false" ht="15" hidden="false" customHeight="false" outlineLevel="0" collapsed="false">
      <c r="A13" s="4" t="s">
        <v>139</v>
      </c>
      <c r="B13" s="4" t="s">
        <v>3969</v>
      </c>
      <c r="C13" s="4" t="s">
        <v>3958</v>
      </c>
      <c r="D13" s="4" t="s">
        <v>3970</v>
      </c>
      <c r="E13" s="7" t="n">
        <v>2023</v>
      </c>
    </row>
    <row r="14" customFormat="false" ht="15" hidden="false" customHeight="false" outlineLevel="0" collapsed="false">
      <c r="A14" s="4" t="s">
        <v>148</v>
      </c>
      <c r="B14" s="4" t="s">
        <v>3971</v>
      </c>
      <c r="C14" s="4" t="s">
        <v>3952</v>
      </c>
      <c r="D14" s="4" t="s">
        <v>3964</v>
      </c>
      <c r="E14" s="7" t="n">
        <v>2021</v>
      </c>
    </row>
    <row r="15" customFormat="false" ht="15" hidden="false" customHeight="false" outlineLevel="0" collapsed="false">
      <c r="A15" s="4" t="s">
        <v>148</v>
      </c>
      <c r="B15" s="4" t="s">
        <v>3966</v>
      </c>
      <c r="C15" s="4" t="s">
        <v>3952</v>
      </c>
      <c r="D15" s="4" t="s">
        <v>3968</v>
      </c>
      <c r="E15" s="7" t="n">
        <v>2022</v>
      </c>
    </row>
    <row r="16" customFormat="false" ht="15" hidden="false" customHeight="false" outlineLevel="0" collapsed="false">
      <c r="A16" s="4" t="s">
        <v>156</v>
      </c>
      <c r="B16" s="4" t="s">
        <v>3957</v>
      </c>
      <c r="C16" s="4" t="s">
        <v>3960</v>
      </c>
      <c r="D16" s="4" t="s">
        <v>3968</v>
      </c>
      <c r="E16" s="7" t="n">
        <v>2020</v>
      </c>
    </row>
    <row r="17" customFormat="false" ht="15" hidden="false" customHeight="false" outlineLevel="0" collapsed="false">
      <c r="A17" s="4" t="s">
        <v>172</v>
      </c>
      <c r="B17" s="4" t="s">
        <v>3972</v>
      </c>
      <c r="C17" s="4" t="s">
        <v>3958</v>
      </c>
      <c r="D17" s="4" t="s">
        <v>3964</v>
      </c>
      <c r="E17" s="7" t="n">
        <v>2023</v>
      </c>
    </row>
    <row r="18" customFormat="false" ht="15" hidden="false" customHeight="false" outlineLevel="0" collapsed="false">
      <c r="A18" s="4" t="s">
        <v>187</v>
      </c>
      <c r="B18" s="4" t="s">
        <v>3966</v>
      </c>
      <c r="C18" s="4" t="s">
        <v>3958</v>
      </c>
      <c r="D18" s="4" t="s">
        <v>3968</v>
      </c>
      <c r="E18" s="7" t="n">
        <v>2023</v>
      </c>
    </row>
    <row r="19" customFormat="false" ht="15" hidden="false" customHeight="false" outlineLevel="0" collapsed="false">
      <c r="A19" s="4" t="s">
        <v>187</v>
      </c>
      <c r="B19" s="4" t="s">
        <v>3954</v>
      </c>
      <c r="C19" s="4" t="s">
        <v>3955</v>
      </c>
      <c r="D19" s="4" t="s">
        <v>3968</v>
      </c>
      <c r="E19" s="7" t="n">
        <v>2020</v>
      </c>
    </row>
    <row r="20" customFormat="false" ht="15" hidden="false" customHeight="false" outlineLevel="0" collapsed="false">
      <c r="A20" s="4" t="s">
        <v>195</v>
      </c>
      <c r="B20" s="4" t="s">
        <v>3973</v>
      </c>
      <c r="C20" s="4" t="s">
        <v>3960</v>
      </c>
      <c r="D20" s="4" t="s">
        <v>3953</v>
      </c>
      <c r="E20" s="7" t="n">
        <v>2021</v>
      </c>
    </row>
    <row r="21" customFormat="false" ht="15" hidden="false" customHeight="false" outlineLevel="0" collapsed="false">
      <c r="A21" s="4" t="s">
        <v>203</v>
      </c>
      <c r="B21" s="4" t="s">
        <v>3974</v>
      </c>
      <c r="C21" s="4" t="s">
        <v>3955</v>
      </c>
      <c r="D21" s="4" t="s">
        <v>3964</v>
      </c>
      <c r="E21" s="7" t="n">
        <v>2021</v>
      </c>
    </row>
    <row r="22" customFormat="false" ht="15" hidden="false" customHeight="false" outlineLevel="0" collapsed="false">
      <c r="A22" s="4" t="s">
        <v>211</v>
      </c>
      <c r="B22" s="4" t="s">
        <v>3974</v>
      </c>
      <c r="C22" s="4" t="s">
        <v>3958</v>
      </c>
      <c r="D22" s="4" t="s">
        <v>3953</v>
      </c>
      <c r="E22" s="7" t="n">
        <v>2024</v>
      </c>
    </row>
    <row r="23" customFormat="false" ht="15" hidden="false" customHeight="false" outlineLevel="0" collapsed="false">
      <c r="A23" s="4" t="s">
        <v>219</v>
      </c>
      <c r="B23" s="4" t="s">
        <v>3972</v>
      </c>
      <c r="C23" s="4" t="s">
        <v>3975</v>
      </c>
      <c r="D23" s="4" t="s">
        <v>3953</v>
      </c>
      <c r="E23" s="7" t="n">
        <v>2024</v>
      </c>
    </row>
    <row r="24" customFormat="false" ht="15" hidden="false" customHeight="false" outlineLevel="0" collapsed="false">
      <c r="A24" s="4" t="s">
        <v>219</v>
      </c>
      <c r="B24" s="4" t="s">
        <v>3976</v>
      </c>
      <c r="C24" s="4" t="s">
        <v>3975</v>
      </c>
      <c r="D24" s="4" t="s">
        <v>3953</v>
      </c>
      <c r="E24" s="7" t="n">
        <v>2025</v>
      </c>
    </row>
    <row r="25" customFormat="false" ht="15" hidden="false" customHeight="false" outlineLevel="0" collapsed="false">
      <c r="A25" s="4" t="s">
        <v>235</v>
      </c>
      <c r="B25" s="4" t="s">
        <v>3972</v>
      </c>
      <c r="C25" s="4" t="s">
        <v>3960</v>
      </c>
      <c r="D25" s="4" t="s">
        <v>3953</v>
      </c>
      <c r="E25" s="7" t="n">
        <v>2019</v>
      </c>
    </row>
    <row r="26" customFormat="false" ht="15" hidden="false" customHeight="false" outlineLevel="0" collapsed="false">
      <c r="A26" s="4" t="s">
        <v>235</v>
      </c>
      <c r="B26" s="4" t="s">
        <v>3961</v>
      </c>
      <c r="C26" s="4" t="s">
        <v>3952</v>
      </c>
      <c r="D26" s="4" t="s">
        <v>3970</v>
      </c>
      <c r="E26" s="7" t="n">
        <v>2019</v>
      </c>
    </row>
    <row r="27" customFormat="false" ht="15" hidden="false" customHeight="false" outlineLevel="0" collapsed="false">
      <c r="A27" s="4" t="s">
        <v>243</v>
      </c>
      <c r="B27" s="4" t="s">
        <v>3954</v>
      </c>
      <c r="C27" s="4" t="s">
        <v>3955</v>
      </c>
      <c r="D27" s="4" t="s">
        <v>3968</v>
      </c>
      <c r="E27" s="7" t="n">
        <v>2020</v>
      </c>
    </row>
    <row r="28" customFormat="false" ht="15" hidden="false" customHeight="false" outlineLevel="0" collapsed="false">
      <c r="A28" s="4" t="s">
        <v>274</v>
      </c>
      <c r="B28" s="4" t="s">
        <v>3971</v>
      </c>
      <c r="C28" s="4" t="s">
        <v>3960</v>
      </c>
      <c r="D28" s="4" t="s">
        <v>3956</v>
      </c>
      <c r="E28" s="7" t="n">
        <v>2023</v>
      </c>
    </row>
    <row r="29" customFormat="false" ht="15" hidden="false" customHeight="false" outlineLevel="0" collapsed="false">
      <c r="A29" s="4" t="s">
        <v>282</v>
      </c>
      <c r="B29" s="4" t="s">
        <v>3971</v>
      </c>
      <c r="C29" s="4" t="s">
        <v>3960</v>
      </c>
      <c r="D29" s="4" t="s">
        <v>3956</v>
      </c>
      <c r="E29" s="7" t="n">
        <v>2019</v>
      </c>
    </row>
    <row r="30" customFormat="false" ht="15" hidden="false" customHeight="false" outlineLevel="0" collapsed="false">
      <c r="A30" s="4" t="s">
        <v>289</v>
      </c>
      <c r="B30" s="4" t="s">
        <v>3961</v>
      </c>
      <c r="C30" s="4" t="s">
        <v>3960</v>
      </c>
      <c r="D30" s="4" t="s">
        <v>3968</v>
      </c>
      <c r="E30" s="7" t="n">
        <v>2023</v>
      </c>
    </row>
    <row r="31" customFormat="false" ht="15" hidden="false" customHeight="false" outlineLevel="0" collapsed="false">
      <c r="A31" s="4" t="s">
        <v>296</v>
      </c>
      <c r="B31" s="4" t="s">
        <v>3954</v>
      </c>
      <c r="C31" s="4" t="s">
        <v>3955</v>
      </c>
      <c r="D31" s="4" t="s">
        <v>3956</v>
      </c>
      <c r="E31" s="7" t="n">
        <v>2019</v>
      </c>
    </row>
    <row r="32" customFormat="false" ht="15" hidden="false" customHeight="false" outlineLevel="0" collapsed="false">
      <c r="A32" s="4" t="s">
        <v>296</v>
      </c>
      <c r="B32" s="4" t="s">
        <v>3969</v>
      </c>
      <c r="C32" s="4" t="s">
        <v>3960</v>
      </c>
      <c r="D32" s="4" t="s">
        <v>3964</v>
      </c>
      <c r="E32" s="7" t="n">
        <v>2023</v>
      </c>
    </row>
    <row r="33" customFormat="false" ht="15" hidden="false" customHeight="false" outlineLevel="0" collapsed="false">
      <c r="A33" s="4" t="s">
        <v>304</v>
      </c>
      <c r="B33" s="4" t="s">
        <v>3965</v>
      </c>
      <c r="C33" s="4" t="s">
        <v>3960</v>
      </c>
      <c r="D33" s="4" t="s">
        <v>3967</v>
      </c>
      <c r="E33" s="7" t="n">
        <v>2019</v>
      </c>
    </row>
    <row r="34" customFormat="false" ht="15" hidden="false" customHeight="false" outlineLevel="0" collapsed="false">
      <c r="A34" s="4" t="s">
        <v>312</v>
      </c>
      <c r="B34" s="4" t="s">
        <v>3969</v>
      </c>
      <c r="C34" s="4" t="s">
        <v>3958</v>
      </c>
      <c r="D34" s="4" t="s">
        <v>3953</v>
      </c>
      <c r="E34" s="7" t="n">
        <v>2021</v>
      </c>
    </row>
    <row r="35" customFormat="false" ht="15" hidden="false" customHeight="false" outlineLevel="0" collapsed="false">
      <c r="A35" s="4" t="s">
        <v>320</v>
      </c>
      <c r="B35" s="4" t="s">
        <v>3972</v>
      </c>
      <c r="C35" s="4" t="s">
        <v>3952</v>
      </c>
      <c r="D35" s="4" t="s">
        <v>3964</v>
      </c>
      <c r="E35" s="7" t="n">
        <v>2019</v>
      </c>
    </row>
    <row r="36" customFormat="false" ht="15" hidden="false" customHeight="false" outlineLevel="0" collapsed="false">
      <c r="A36" s="4" t="s">
        <v>320</v>
      </c>
      <c r="B36" s="4" t="s">
        <v>3959</v>
      </c>
      <c r="C36" s="4" t="s">
        <v>3958</v>
      </c>
      <c r="D36" s="4" t="s">
        <v>3962</v>
      </c>
      <c r="E36" s="7" t="n">
        <v>2024</v>
      </c>
    </row>
    <row r="37" customFormat="false" ht="15" hidden="false" customHeight="false" outlineLevel="0" collapsed="false">
      <c r="A37" s="4" t="s">
        <v>328</v>
      </c>
      <c r="B37" s="4" t="s">
        <v>3974</v>
      </c>
      <c r="C37" s="4" t="s">
        <v>3952</v>
      </c>
      <c r="D37" s="4" t="s">
        <v>3953</v>
      </c>
      <c r="E37" s="7" t="n">
        <v>2022</v>
      </c>
    </row>
    <row r="38" customFormat="false" ht="15" hidden="false" customHeight="false" outlineLevel="0" collapsed="false">
      <c r="A38" s="4" t="s">
        <v>352</v>
      </c>
      <c r="B38" s="4" t="s">
        <v>3965</v>
      </c>
      <c r="C38" s="4" t="s">
        <v>3955</v>
      </c>
      <c r="D38" s="4" t="s">
        <v>3967</v>
      </c>
      <c r="E38" s="7" t="n">
        <v>2022</v>
      </c>
    </row>
    <row r="39" customFormat="false" ht="15" hidden="false" customHeight="false" outlineLevel="0" collapsed="false">
      <c r="A39" s="4" t="s">
        <v>376</v>
      </c>
      <c r="B39" s="4" t="s">
        <v>3972</v>
      </c>
      <c r="C39" s="4" t="s">
        <v>3952</v>
      </c>
      <c r="D39" s="4" t="s">
        <v>3964</v>
      </c>
      <c r="E39" s="7" t="n">
        <v>2023</v>
      </c>
    </row>
    <row r="40" customFormat="false" ht="15" hidden="false" customHeight="false" outlineLevel="0" collapsed="false">
      <c r="A40" s="4" t="s">
        <v>376</v>
      </c>
      <c r="B40" s="4" t="s">
        <v>3951</v>
      </c>
      <c r="C40" s="4" t="s">
        <v>3952</v>
      </c>
      <c r="D40" s="4" t="s">
        <v>3953</v>
      </c>
      <c r="E40" s="7" t="n">
        <v>2022</v>
      </c>
    </row>
    <row r="41" customFormat="false" ht="15" hidden="false" customHeight="false" outlineLevel="0" collapsed="false">
      <c r="A41" s="4" t="s">
        <v>400</v>
      </c>
      <c r="B41" s="4" t="s">
        <v>3971</v>
      </c>
      <c r="C41" s="4" t="s">
        <v>3975</v>
      </c>
      <c r="D41" s="4" t="s">
        <v>3953</v>
      </c>
      <c r="E41" s="7" t="n">
        <v>2025</v>
      </c>
    </row>
    <row r="42" customFormat="false" ht="15" hidden="false" customHeight="false" outlineLevel="0" collapsed="false">
      <c r="A42" s="4" t="s">
        <v>416</v>
      </c>
      <c r="B42" s="4" t="s">
        <v>3973</v>
      </c>
      <c r="C42" s="4" t="s">
        <v>3958</v>
      </c>
      <c r="D42" s="4" t="s">
        <v>3968</v>
      </c>
      <c r="E42" s="7" t="n">
        <v>2020</v>
      </c>
    </row>
    <row r="43" customFormat="false" ht="15" hidden="false" customHeight="false" outlineLevel="0" collapsed="false">
      <c r="A43" s="4" t="s">
        <v>424</v>
      </c>
      <c r="B43" s="4" t="s">
        <v>3961</v>
      </c>
      <c r="C43" s="4" t="s">
        <v>3958</v>
      </c>
      <c r="D43" s="4" t="s">
        <v>3967</v>
      </c>
      <c r="E43" s="7" t="n">
        <v>2021</v>
      </c>
    </row>
    <row r="44" customFormat="false" ht="15" hidden="false" customHeight="false" outlineLevel="0" collapsed="false">
      <c r="A44" s="4" t="s">
        <v>432</v>
      </c>
      <c r="B44" s="4" t="s">
        <v>3965</v>
      </c>
      <c r="C44" s="4" t="s">
        <v>3958</v>
      </c>
      <c r="D44" s="4" t="s">
        <v>3953</v>
      </c>
      <c r="E44" s="7" t="n">
        <v>2024</v>
      </c>
    </row>
    <row r="45" customFormat="false" ht="15" hidden="false" customHeight="false" outlineLevel="0" collapsed="false">
      <c r="A45" s="4" t="s">
        <v>448</v>
      </c>
      <c r="B45" s="4" t="s">
        <v>3976</v>
      </c>
      <c r="C45" s="4" t="s">
        <v>3952</v>
      </c>
      <c r="D45" s="4" t="s">
        <v>3968</v>
      </c>
      <c r="E45" s="7" t="n">
        <v>2020</v>
      </c>
    </row>
    <row r="46" customFormat="false" ht="15" hidden="false" customHeight="false" outlineLevel="0" collapsed="false">
      <c r="A46" s="4" t="s">
        <v>464</v>
      </c>
      <c r="B46" s="4" t="s">
        <v>3957</v>
      </c>
      <c r="C46" s="4" t="s">
        <v>3958</v>
      </c>
      <c r="D46" s="4" t="s">
        <v>3968</v>
      </c>
      <c r="E46" s="7" t="n">
        <v>2022</v>
      </c>
    </row>
    <row r="47" customFormat="false" ht="15" hidden="false" customHeight="false" outlineLevel="0" collapsed="false">
      <c r="A47" s="4" t="s">
        <v>472</v>
      </c>
      <c r="B47" s="4" t="s">
        <v>3965</v>
      </c>
      <c r="C47" s="4" t="s">
        <v>3960</v>
      </c>
      <c r="D47" s="4" t="s">
        <v>3970</v>
      </c>
      <c r="E47" s="7" t="n">
        <v>2017</v>
      </c>
    </row>
    <row r="48" customFormat="false" ht="15" hidden="false" customHeight="false" outlineLevel="0" collapsed="false">
      <c r="A48" s="4" t="s">
        <v>480</v>
      </c>
      <c r="B48" s="4" t="s">
        <v>3976</v>
      </c>
      <c r="C48" s="4" t="s">
        <v>3955</v>
      </c>
      <c r="D48" s="4" t="s">
        <v>3962</v>
      </c>
      <c r="E48" s="7" t="n">
        <v>2023</v>
      </c>
    </row>
    <row r="49" customFormat="false" ht="15" hidden="false" customHeight="false" outlineLevel="0" collapsed="false">
      <c r="A49" s="4" t="s">
        <v>496</v>
      </c>
      <c r="B49" s="4" t="s">
        <v>3973</v>
      </c>
      <c r="C49" s="4" t="s">
        <v>3955</v>
      </c>
      <c r="D49" s="4" t="s">
        <v>3970</v>
      </c>
      <c r="E49" s="7" t="n">
        <v>2022</v>
      </c>
    </row>
    <row r="50" customFormat="false" ht="15" hidden="false" customHeight="false" outlineLevel="0" collapsed="false">
      <c r="A50" s="4" t="s">
        <v>504</v>
      </c>
      <c r="B50" s="4" t="s">
        <v>3966</v>
      </c>
      <c r="C50" s="4" t="s">
        <v>3952</v>
      </c>
      <c r="D50" s="4" t="s">
        <v>3968</v>
      </c>
      <c r="E50" s="7" t="n">
        <v>2019</v>
      </c>
    </row>
    <row r="51" customFormat="false" ht="15" hidden="false" customHeight="false" outlineLevel="0" collapsed="false">
      <c r="A51" s="4" t="s">
        <v>527</v>
      </c>
      <c r="B51" s="4" t="s">
        <v>3954</v>
      </c>
      <c r="C51" s="4" t="s">
        <v>3952</v>
      </c>
      <c r="D51" s="4" t="s">
        <v>3967</v>
      </c>
      <c r="E51" s="7" t="n">
        <v>2021</v>
      </c>
    </row>
    <row r="52" customFormat="false" ht="15" hidden="false" customHeight="false" outlineLevel="0" collapsed="false">
      <c r="A52" s="4" t="s">
        <v>542</v>
      </c>
      <c r="B52" s="4" t="s">
        <v>3969</v>
      </c>
      <c r="C52" s="4" t="s">
        <v>3960</v>
      </c>
      <c r="D52" s="4" t="s">
        <v>3967</v>
      </c>
      <c r="E52" s="7" t="n">
        <v>2022</v>
      </c>
    </row>
    <row r="53" customFormat="false" ht="15" hidden="false" customHeight="false" outlineLevel="0" collapsed="false">
      <c r="A53" s="4" t="s">
        <v>558</v>
      </c>
      <c r="B53" s="4" t="s">
        <v>3969</v>
      </c>
      <c r="C53" s="4" t="s">
        <v>3958</v>
      </c>
      <c r="D53" s="4" t="s">
        <v>3953</v>
      </c>
      <c r="E53" s="7" t="n">
        <v>2023</v>
      </c>
    </row>
    <row r="54" customFormat="false" ht="15" hidden="false" customHeight="false" outlineLevel="0" collapsed="false">
      <c r="A54" s="4" t="s">
        <v>565</v>
      </c>
      <c r="B54" s="4" t="s">
        <v>3976</v>
      </c>
      <c r="C54" s="4" t="s">
        <v>3960</v>
      </c>
      <c r="D54" s="4" t="s">
        <v>3970</v>
      </c>
      <c r="E54" s="7" t="n">
        <v>2019</v>
      </c>
    </row>
    <row r="55" customFormat="false" ht="15" hidden="false" customHeight="false" outlineLevel="0" collapsed="false">
      <c r="A55" s="4" t="s">
        <v>573</v>
      </c>
      <c r="B55" s="4" t="s">
        <v>3976</v>
      </c>
      <c r="C55" s="4" t="s">
        <v>3960</v>
      </c>
      <c r="D55" s="4" t="s">
        <v>3962</v>
      </c>
      <c r="E55" s="7" t="n">
        <v>2022</v>
      </c>
    </row>
    <row r="56" customFormat="false" ht="15" hidden="false" customHeight="false" outlineLevel="0" collapsed="false">
      <c r="A56" s="4" t="s">
        <v>573</v>
      </c>
      <c r="B56" s="4" t="s">
        <v>3966</v>
      </c>
      <c r="C56" s="4" t="s">
        <v>3958</v>
      </c>
      <c r="D56" s="4" t="s">
        <v>3970</v>
      </c>
      <c r="E56" s="7" t="n">
        <v>2020</v>
      </c>
    </row>
    <row r="57" customFormat="false" ht="15" hidden="false" customHeight="false" outlineLevel="0" collapsed="false">
      <c r="A57" s="4" t="s">
        <v>581</v>
      </c>
      <c r="B57" s="4" t="s">
        <v>3954</v>
      </c>
      <c r="C57" s="4" t="s">
        <v>3975</v>
      </c>
      <c r="D57" s="4" t="s">
        <v>3962</v>
      </c>
      <c r="E57" s="7" t="n">
        <v>2019</v>
      </c>
    </row>
    <row r="58" customFormat="false" ht="15" hidden="false" customHeight="false" outlineLevel="0" collapsed="false">
      <c r="A58" s="4" t="s">
        <v>589</v>
      </c>
      <c r="B58" s="4" t="s">
        <v>3954</v>
      </c>
      <c r="C58" s="4" t="s">
        <v>3952</v>
      </c>
      <c r="D58" s="4" t="s">
        <v>3967</v>
      </c>
      <c r="E58" s="7" t="n">
        <v>2023</v>
      </c>
    </row>
    <row r="59" customFormat="false" ht="15" hidden="false" customHeight="false" outlineLevel="0" collapsed="false">
      <c r="A59" s="4" t="s">
        <v>589</v>
      </c>
      <c r="B59" s="4" t="s">
        <v>3973</v>
      </c>
      <c r="C59" s="4" t="s">
        <v>3952</v>
      </c>
      <c r="D59" s="4" t="s">
        <v>3964</v>
      </c>
      <c r="E59" s="7" t="n">
        <v>2021</v>
      </c>
    </row>
    <row r="60" customFormat="false" ht="15" hidden="false" customHeight="false" outlineLevel="0" collapsed="false">
      <c r="A60" s="4" t="s">
        <v>597</v>
      </c>
      <c r="B60" s="4" t="s">
        <v>3969</v>
      </c>
      <c r="C60" s="4" t="s">
        <v>3955</v>
      </c>
      <c r="D60" s="4" t="s">
        <v>3967</v>
      </c>
      <c r="E60" s="7" t="n">
        <v>2019</v>
      </c>
    </row>
    <row r="61" customFormat="false" ht="15" hidden="false" customHeight="false" outlineLevel="0" collapsed="false">
      <c r="A61" s="4" t="s">
        <v>605</v>
      </c>
      <c r="B61" s="4" t="s">
        <v>3963</v>
      </c>
      <c r="C61" s="4" t="s">
        <v>3958</v>
      </c>
      <c r="D61" s="4" t="s">
        <v>3964</v>
      </c>
      <c r="E61" s="7" t="n">
        <v>2021</v>
      </c>
    </row>
    <row r="62" customFormat="false" ht="15" hidden="false" customHeight="false" outlineLevel="0" collapsed="false">
      <c r="A62" s="4" t="s">
        <v>629</v>
      </c>
      <c r="B62" s="4" t="s">
        <v>3965</v>
      </c>
      <c r="C62" s="4" t="s">
        <v>3952</v>
      </c>
      <c r="D62" s="4" t="s">
        <v>3968</v>
      </c>
      <c r="E62" s="7" t="n">
        <v>2019</v>
      </c>
    </row>
    <row r="63" customFormat="false" ht="15" hidden="false" customHeight="false" outlineLevel="0" collapsed="false">
      <c r="A63" s="4" t="s">
        <v>629</v>
      </c>
      <c r="B63" s="4" t="s">
        <v>3971</v>
      </c>
      <c r="C63" s="4" t="s">
        <v>3958</v>
      </c>
      <c r="D63" s="4" t="s">
        <v>3967</v>
      </c>
      <c r="E63" s="7" t="n">
        <v>2018</v>
      </c>
    </row>
    <row r="64" customFormat="false" ht="15" hidden="false" customHeight="false" outlineLevel="0" collapsed="false">
      <c r="A64" s="4" t="s">
        <v>637</v>
      </c>
      <c r="B64" s="4" t="s">
        <v>3969</v>
      </c>
      <c r="C64" s="4" t="s">
        <v>3960</v>
      </c>
      <c r="D64" s="4" t="s">
        <v>3953</v>
      </c>
      <c r="E64" s="7" t="n">
        <v>2023</v>
      </c>
    </row>
    <row r="65" customFormat="false" ht="15" hidden="false" customHeight="false" outlineLevel="0" collapsed="false">
      <c r="A65" s="4" t="s">
        <v>652</v>
      </c>
      <c r="B65" s="4" t="s">
        <v>3971</v>
      </c>
      <c r="C65" s="4" t="s">
        <v>3955</v>
      </c>
      <c r="D65" s="4" t="s">
        <v>3970</v>
      </c>
      <c r="E65" s="7" t="n">
        <v>2023</v>
      </c>
    </row>
    <row r="66" customFormat="false" ht="15" hidden="false" customHeight="false" outlineLevel="0" collapsed="false">
      <c r="A66" s="4" t="s">
        <v>660</v>
      </c>
      <c r="B66" s="4" t="s">
        <v>3963</v>
      </c>
      <c r="C66" s="4" t="s">
        <v>3952</v>
      </c>
      <c r="D66" s="4" t="s">
        <v>3962</v>
      </c>
      <c r="E66" s="7" t="n">
        <v>2021</v>
      </c>
    </row>
    <row r="67" customFormat="false" ht="15" hidden="false" customHeight="false" outlineLevel="0" collapsed="false">
      <c r="A67" s="4" t="s">
        <v>660</v>
      </c>
      <c r="B67" s="4" t="s">
        <v>3959</v>
      </c>
      <c r="C67" s="4" t="s">
        <v>3955</v>
      </c>
      <c r="D67" s="4" t="s">
        <v>3970</v>
      </c>
      <c r="E67" s="7" t="n">
        <v>2021</v>
      </c>
    </row>
    <row r="68" customFormat="false" ht="15" hidden="false" customHeight="false" outlineLevel="0" collapsed="false">
      <c r="A68" s="4" t="s">
        <v>668</v>
      </c>
      <c r="B68" s="4" t="s">
        <v>3966</v>
      </c>
      <c r="C68" s="4" t="s">
        <v>3958</v>
      </c>
      <c r="D68" s="4" t="s">
        <v>3964</v>
      </c>
      <c r="E68" s="7" t="n">
        <v>2022</v>
      </c>
    </row>
    <row r="69" customFormat="false" ht="15" hidden="false" customHeight="false" outlineLevel="0" collapsed="false">
      <c r="A69" s="4" t="s">
        <v>684</v>
      </c>
      <c r="B69" s="4" t="s">
        <v>3954</v>
      </c>
      <c r="C69" s="4" t="s">
        <v>3955</v>
      </c>
      <c r="D69" s="4" t="s">
        <v>3970</v>
      </c>
      <c r="E69" s="7" t="n">
        <v>2021</v>
      </c>
    </row>
    <row r="70" customFormat="false" ht="15" hidden="false" customHeight="false" outlineLevel="0" collapsed="false">
      <c r="A70" s="4" t="s">
        <v>700</v>
      </c>
      <c r="B70" s="4" t="s">
        <v>3951</v>
      </c>
      <c r="C70" s="4" t="s">
        <v>3975</v>
      </c>
      <c r="D70" s="4" t="s">
        <v>3968</v>
      </c>
      <c r="E70" s="7" t="n">
        <v>2022</v>
      </c>
    </row>
    <row r="71" customFormat="false" ht="15" hidden="false" customHeight="false" outlineLevel="0" collapsed="false">
      <c r="A71" s="4" t="s">
        <v>700</v>
      </c>
      <c r="B71" s="4" t="s">
        <v>3963</v>
      </c>
      <c r="C71" s="4" t="s">
        <v>3975</v>
      </c>
      <c r="D71" s="4" t="s">
        <v>3970</v>
      </c>
      <c r="E71" s="7" t="n">
        <v>2020</v>
      </c>
    </row>
    <row r="72" customFormat="false" ht="15" hidden="false" customHeight="false" outlineLevel="0" collapsed="false">
      <c r="A72" s="4" t="s">
        <v>708</v>
      </c>
      <c r="B72" s="4" t="s">
        <v>3957</v>
      </c>
      <c r="C72" s="4" t="s">
        <v>3958</v>
      </c>
      <c r="D72" s="4" t="s">
        <v>3962</v>
      </c>
      <c r="E72" s="7" t="n">
        <v>2024</v>
      </c>
    </row>
    <row r="73" customFormat="false" ht="15" hidden="false" customHeight="false" outlineLevel="0" collapsed="false">
      <c r="A73" s="4" t="s">
        <v>716</v>
      </c>
      <c r="B73" s="4" t="s">
        <v>3972</v>
      </c>
      <c r="C73" s="4" t="s">
        <v>3960</v>
      </c>
      <c r="D73" s="4" t="s">
        <v>3970</v>
      </c>
      <c r="E73" s="7" t="n">
        <v>2021</v>
      </c>
    </row>
    <row r="74" customFormat="false" ht="15" hidden="false" customHeight="false" outlineLevel="0" collapsed="false">
      <c r="A74" s="4" t="s">
        <v>716</v>
      </c>
      <c r="B74" s="4" t="s">
        <v>3976</v>
      </c>
      <c r="C74" s="4" t="s">
        <v>3958</v>
      </c>
      <c r="D74" s="4" t="s">
        <v>3968</v>
      </c>
      <c r="E74" s="7" t="n">
        <v>2022</v>
      </c>
    </row>
    <row r="75" customFormat="false" ht="15" hidden="false" customHeight="false" outlineLevel="0" collapsed="false">
      <c r="A75" s="4" t="s">
        <v>724</v>
      </c>
      <c r="B75" s="4" t="s">
        <v>3963</v>
      </c>
      <c r="C75" s="4" t="s">
        <v>3952</v>
      </c>
      <c r="D75" s="4" t="s">
        <v>3964</v>
      </c>
      <c r="E75" s="7" t="n">
        <v>2018</v>
      </c>
    </row>
    <row r="76" customFormat="false" ht="15" hidden="false" customHeight="false" outlineLevel="0" collapsed="false">
      <c r="A76" s="4" t="s">
        <v>740</v>
      </c>
      <c r="B76" s="4" t="s">
        <v>3971</v>
      </c>
      <c r="C76" s="4" t="s">
        <v>3955</v>
      </c>
      <c r="D76" s="4" t="s">
        <v>3967</v>
      </c>
      <c r="E76" s="7" t="n">
        <v>2021</v>
      </c>
    </row>
    <row r="77" customFormat="false" ht="15" hidden="false" customHeight="false" outlineLevel="0" collapsed="false">
      <c r="A77" s="4" t="s">
        <v>740</v>
      </c>
      <c r="B77" s="4" t="s">
        <v>3961</v>
      </c>
      <c r="C77" s="4" t="s">
        <v>3955</v>
      </c>
      <c r="D77" s="4" t="s">
        <v>3962</v>
      </c>
      <c r="E77" s="7" t="n">
        <v>2018</v>
      </c>
    </row>
    <row r="78" customFormat="false" ht="15" hidden="false" customHeight="false" outlineLevel="0" collapsed="false">
      <c r="A78" s="4" t="s">
        <v>756</v>
      </c>
      <c r="B78" s="4" t="s">
        <v>3957</v>
      </c>
      <c r="C78" s="4" t="s">
        <v>3952</v>
      </c>
      <c r="D78" s="4" t="s">
        <v>3967</v>
      </c>
      <c r="E78" s="7" t="n">
        <v>2025</v>
      </c>
    </row>
    <row r="79" customFormat="false" ht="15" hidden="false" customHeight="false" outlineLevel="0" collapsed="false">
      <c r="A79" s="4" t="s">
        <v>756</v>
      </c>
      <c r="B79" s="4" t="s">
        <v>3951</v>
      </c>
      <c r="C79" s="4" t="s">
        <v>3958</v>
      </c>
      <c r="D79" s="4" t="s">
        <v>3968</v>
      </c>
      <c r="E79" s="7" t="n">
        <v>2025</v>
      </c>
    </row>
    <row r="80" customFormat="false" ht="15" hidden="false" customHeight="false" outlineLevel="0" collapsed="false">
      <c r="A80" s="4" t="s">
        <v>764</v>
      </c>
      <c r="B80" s="4" t="s">
        <v>3951</v>
      </c>
      <c r="C80" s="4" t="s">
        <v>3960</v>
      </c>
      <c r="D80" s="4" t="s">
        <v>3953</v>
      </c>
      <c r="E80" s="7" t="n">
        <v>2022</v>
      </c>
    </row>
    <row r="81" customFormat="false" ht="15" hidden="false" customHeight="false" outlineLevel="0" collapsed="false">
      <c r="A81" s="4" t="s">
        <v>772</v>
      </c>
      <c r="B81" s="4" t="s">
        <v>3963</v>
      </c>
      <c r="C81" s="4" t="s">
        <v>3955</v>
      </c>
      <c r="D81" s="4" t="s">
        <v>3970</v>
      </c>
      <c r="E81" s="7" t="n">
        <v>2022</v>
      </c>
    </row>
    <row r="82" customFormat="false" ht="15" hidden="false" customHeight="false" outlineLevel="0" collapsed="false">
      <c r="A82" s="4" t="s">
        <v>788</v>
      </c>
      <c r="B82" s="4" t="s">
        <v>3965</v>
      </c>
      <c r="C82" s="4" t="s">
        <v>3958</v>
      </c>
      <c r="D82" s="4" t="s">
        <v>3968</v>
      </c>
      <c r="E82" s="7" t="n">
        <v>2020</v>
      </c>
    </row>
    <row r="83" customFormat="false" ht="15" hidden="false" customHeight="false" outlineLevel="0" collapsed="false">
      <c r="A83" s="4" t="s">
        <v>795</v>
      </c>
      <c r="B83" s="4" t="s">
        <v>3976</v>
      </c>
      <c r="C83" s="4" t="s">
        <v>3975</v>
      </c>
      <c r="D83" s="4" t="s">
        <v>3956</v>
      </c>
      <c r="E83" s="7" t="n">
        <v>2021</v>
      </c>
    </row>
    <row r="84" customFormat="false" ht="15" hidden="false" customHeight="false" outlineLevel="0" collapsed="false">
      <c r="A84" s="4" t="s">
        <v>803</v>
      </c>
      <c r="B84" s="4" t="s">
        <v>3974</v>
      </c>
      <c r="C84" s="4" t="s">
        <v>3955</v>
      </c>
      <c r="D84" s="4" t="s">
        <v>3967</v>
      </c>
      <c r="E84" s="7" t="n">
        <v>2022</v>
      </c>
    </row>
    <row r="85" customFormat="false" ht="15" hidden="false" customHeight="false" outlineLevel="0" collapsed="false">
      <c r="A85" s="4" t="s">
        <v>803</v>
      </c>
      <c r="B85" s="4" t="s">
        <v>3965</v>
      </c>
      <c r="C85" s="4" t="s">
        <v>3955</v>
      </c>
      <c r="D85" s="4" t="s">
        <v>3962</v>
      </c>
      <c r="E85" s="7" t="n">
        <v>2020</v>
      </c>
    </row>
    <row r="86" customFormat="false" ht="15" hidden="false" customHeight="false" outlineLevel="0" collapsed="false">
      <c r="A86" s="4" t="s">
        <v>811</v>
      </c>
      <c r="B86" s="4" t="s">
        <v>3972</v>
      </c>
      <c r="C86" s="4" t="s">
        <v>3955</v>
      </c>
      <c r="D86" s="4" t="s">
        <v>3968</v>
      </c>
      <c r="E86" s="7" t="n">
        <v>2019</v>
      </c>
    </row>
    <row r="87" customFormat="false" ht="15" hidden="false" customHeight="false" outlineLevel="0" collapsed="false">
      <c r="A87" s="4" t="s">
        <v>819</v>
      </c>
      <c r="B87" s="4" t="s">
        <v>3972</v>
      </c>
      <c r="C87" s="4" t="s">
        <v>3960</v>
      </c>
      <c r="D87" s="4" t="s">
        <v>3962</v>
      </c>
      <c r="E87" s="7" t="n">
        <v>2017</v>
      </c>
    </row>
    <row r="88" customFormat="false" ht="15" hidden="false" customHeight="false" outlineLevel="0" collapsed="false">
      <c r="A88" s="4" t="s">
        <v>827</v>
      </c>
      <c r="B88" s="4" t="s">
        <v>3957</v>
      </c>
      <c r="C88" s="4" t="s">
        <v>3960</v>
      </c>
      <c r="D88" s="4" t="s">
        <v>3962</v>
      </c>
      <c r="E88" s="7" t="n">
        <v>2021</v>
      </c>
    </row>
    <row r="89" customFormat="false" ht="15" hidden="false" customHeight="false" outlineLevel="0" collapsed="false">
      <c r="A89" s="4" t="s">
        <v>835</v>
      </c>
      <c r="B89" s="4" t="s">
        <v>3961</v>
      </c>
      <c r="C89" s="4" t="s">
        <v>3960</v>
      </c>
      <c r="D89" s="4" t="s">
        <v>3953</v>
      </c>
      <c r="E89" s="7" t="n">
        <v>2018</v>
      </c>
    </row>
    <row r="90" customFormat="false" ht="15" hidden="false" customHeight="false" outlineLevel="0" collapsed="false">
      <c r="A90" s="4" t="s">
        <v>843</v>
      </c>
      <c r="B90" s="4" t="s">
        <v>3973</v>
      </c>
      <c r="C90" s="4" t="s">
        <v>3958</v>
      </c>
      <c r="D90" s="4" t="s">
        <v>3953</v>
      </c>
      <c r="E90" s="7" t="n">
        <v>2021</v>
      </c>
    </row>
    <row r="91" customFormat="false" ht="15" hidden="false" customHeight="false" outlineLevel="0" collapsed="false">
      <c r="A91" s="4" t="s">
        <v>851</v>
      </c>
      <c r="B91" s="4" t="s">
        <v>3963</v>
      </c>
      <c r="C91" s="4" t="s">
        <v>3958</v>
      </c>
      <c r="D91" s="4" t="s">
        <v>3956</v>
      </c>
      <c r="E91" s="7" t="n">
        <v>2021</v>
      </c>
    </row>
    <row r="92" customFormat="false" ht="15" hidden="false" customHeight="false" outlineLevel="0" collapsed="false">
      <c r="A92" s="4" t="s">
        <v>859</v>
      </c>
      <c r="B92" s="4" t="s">
        <v>3963</v>
      </c>
      <c r="C92" s="4" t="s">
        <v>3958</v>
      </c>
      <c r="D92" s="4" t="s">
        <v>3953</v>
      </c>
      <c r="E92" s="7" t="n">
        <v>2025</v>
      </c>
    </row>
    <row r="93" customFormat="false" ht="15" hidden="false" customHeight="false" outlineLevel="0" collapsed="false">
      <c r="A93" s="4" t="s">
        <v>866</v>
      </c>
      <c r="B93" s="4" t="s">
        <v>3957</v>
      </c>
      <c r="C93" s="4" t="s">
        <v>3975</v>
      </c>
      <c r="D93" s="4" t="s">
        <v>3956</v>
      </c>
      <c r="E93" s="7" t="n">
        <v>2023</v>
      </c>
    </row>
    <row r="94" customFormat="false" ht="15" hidden="false" customHeight="false" outlineLevel="0" collapsed="false">
      <c r="A94" s="4" t="s">
        <v>874</v>
      </c>
      <c r="B94" s="4" t="s">
        <v>3963</v>
      </c>
      <c r="C94" s="4" t="s">
        <v>3958</v>
      </c>
      <c r="D94" s="4" t="s">
        <v>3953</v>
      </c>
      <c r="E94" s="7" t="n">
        <v>2018</v>
      </c>
    </row>
    <row r="95" customFormat="false" ht="15" hidden="false" customHeight="false" outlineLevel="0" collapsed="false">
      <c r="A95" s="4" t="s">
        <v>882</v>
      </c>
      <c r="B95" s="4" t="s">
        <v>3974</v>
      </c>
      <c r="C95" s="4" t="s">
        <v>3960</v>
      </c>
      <c r="D95" s="4" t="s">
        <v>3962</v>
      </c>
      <c r="E95" s="7" t="n">
        <v>2017</v>
      </c>
    </row>
    <row r="96" customFormat="false" ht="15" hidden="false" customHeight="false" outlineLevel="0" collapsed="false">
      <c r="A96" s="4" t="s">
        <v>890</v>
      </c>
      <c r="B96" s="4" t="s">
        <v>3971</v>
      </c>
      <c r="C96" s="4" t="s">
        <v>3958</v>
      </c>
      <c r="D96" s="4" t="s">
        <v>3967</v>
      </c>
      <c r="E96" s="7" t="n">
        <v>2021</v>
      </c>
    </row>
    <row r="97" customFormat="false" ht="15" hidden="false" customHeight="false" outlineLevel="0" collapsed="false">
      <c r="A97" s="4" t="s">
        <v>898</v>
      </c>
      <c r="B97" s="4" t="s">
        <v>3957</v>
      </c>
      <c r="C97" s="4" t="s">
        <v>3955</v>
      </c>
      <c r="D97" s="4" t="s">
        <v>3968</v>
      </c>
      <c r="E97" s="7" t="n">
        <v>2020</v>
      </c>
    </row>
    <row r="98" customFormat="false" ht="15" hidden="false" customHeight="false" outlineLevel="0" collapsed="false">
      <c r="A98" s="4" t="s">
        <v>898</v>
      </c>
      <c r="B98" s="4" t="s">
        <v>3965</v>
      </c>
      <c r="C98" s="4" t="s">
        <v>3955</v>
      </c>
      <c r="D98" s="4" t="s">
        <v>3953</v>
      </c>
      <c r="E98" s="7" t="n">
        <v>2018</v>
      </c>
    </row>
    <row r="99" customFormat="false" ht="15" hidden="false" customHeight="false" outlineLevel="0" collapsed="false">
      <c r="A99" s="4" t="s">
        <v>906</v>
      </c>
      <c r="B99" s="4" t="s">
        <v>3969</v>
      </c>
      <c r="C99" s="4" t="s">
        <v>3952</v>
      </c>
      <c r="D99" s="4" t="s">
        <v>3956</v>
      </c>
      <c r="E99" s="7" t="n">
        <v>2020</v>
      </c>
    </row>
    <row r="100" customFormat="false" ht="15" hidden="false" customHeight="false" outlineLevel="0" collapsed="false">
      <c r="A100" s="4" t="s">
        <v>922</v>
      </c>
      <c r="B100" s="4" t="s">
        <v>3974</v>
      </c>
      <c r="C100" s="4" t="s">
        <v>3955</v>
      </c>
      <c r="D100" s="4" t="s">
        <v>3968</v>
      </c>
      <c r="E100" s="7" t="n">
        <v>2025</v>
      </c>
    </row>
    <row r="101" customFormat="false" ht="15" hidden="false" customHeight="false" outlineLevel="0" collapsed="false">
      <c r="A101" s="4" t="s">
        <v>936</v>
      </c>
      <c r="B101" s="4" t="s">
        <v>3973</v>
      </c>
      <c r="C101" s="4" t="s">
        <v>3960</v>
      </c>
      <c r="D101" s="4" t="s">
        <v>3962</v>
      </c>
      <c r="E101" s="7" t="n">
        <v>2019</v>
      </c>
    </row>
    <row r="102" customFormat="false" ht="15" hidden="false" customHeight="false" outlineLevel="0" collapsed="false">
      <c r="A102" s="4" t="s">
        <v>936</v>
      </c>
      <c r="B102" s="4" t="s">
        <v>3957</v>
      </c>
      <c r="C102" s="4" t="s">
        <v>3952</v>
      </c>
      <c r="D102" s="4" t="s">
        <v>3970</v>
      </c>
      <c r="E102" s="7" t="n">
        <v>2022</v>
      </c>
    </row>
    <row r="103" customFormat="false" ht="15" hidden="false" customHeight="false" outlineLevel="0" collapsed="false">
      <c r="A103" s="4" t="s">
        <v>952</v>
      </c>
      <c r="B103" s="4" t="s">
        <v>3965</v>
      </c>
      <c r="C103" s="4" t="s">
        <v>3960</v>
      </c>
      <c r="D103" s="4" t="s">
        <v>3964</v>
      </c>
      <c r="E103" s="7" t="n">
        <v>2019</v>
      </c>
    </row>
    <row r="104" customFormat="false" ht="15" hidden="false" customHeight="false" outlineLevel="0" collapsed="false">
      <c r="A104" s="4" t="s">
        <v>967</v>
      </c>
      <c r="B104" s="4" t="s">
        <v>3976</v>
      </c>
      <c r="C104" s="4" t="s">
        <v>3960</v>
      </c>
      <c r="D104" s="4" t="s">
        <v>3962</v>
      </c>
      <c r="E104" s="7" t="n">
        <v>2018</v>
      </c>
    </row>
    <row r="105" customFormat="false" ht="15" hidden="false" customHeight="false" outlineLevel="0" collapsed="false">
      <c r="A105" s="4" t="s">
        <v>967</v>
      </c>
      <c r="B105" s="4" t="s">
        <v>3963</v>
      </c>
      <c r="C105" s="4" t="s">
        <v>3955</v>
      </c>
      <c r="D105" s="4" t="s">
        <v>3968</v>
      </c>
      <c r="E105" s="7" t="n">
        <v>2021</v>
      </c>
    </row>
    <row r="106" customFormat="false" ht="15" hidden="false" customHeight="false" outlineLevel="0" collapsed="false">
      <c r="A106" s="4" t="s">
        <v>975</v>
      </c>
      <c r="B106" s="4" t="s">
        <v>3951</v>
      </c>
      <c r="C106" s="4" t="s">
        <v>3952</v>
      </c>
      <c r="D106" s="4" t="s">
        <v>3956</v>
      </c>
      <c r="E106" s="7" t="n">
        <v>2023</v>
      </c>
    </row>
    <row r="107" customFormat="false" ht="15" hidden="false" customHeight="false" outlineLevel="0" collapsed="false">
      <c r="A107" s="4" t="s">
        <v>998</v>
      </c>
      <c r="B107" s="4" t="s">
        <v>3959</v>
      </c>
      <c r="C107" s="4" t="s">
        <v>3958</v>
      </c>
      <c r="D107" s="4" t="s">
        <v>3968</v>
      </c>
      <c r="E107" s="7" t="n">
        <v>2023</v>
      </c>
    </row>
    <row r="108" customFormat="false" ht="15" hidden="false" customHeight="false" outlineLevel="0" collapsed="false">
      <c r="A108" s="4" t="s">
        <v>1006</v>
      </c>
      <c r="B108" s="4" t="s">
        <v>3954</v>
      </c>
      <c r="C108" s="4" t="s">
        <v>3958</v>
      </c>
      <c r="D108" s="4" t="s">
        <v>3964</v>
      </c>
      <c r="E108" s="7" t="n">
        <v>2019</v>
      </c>
    </row>
    <row r="109" customFormat="false" ht="15" hidden="false" customHeight="false" outlineLevel="0" collapsed="false">
      <c r="A109" s="4" t="s">
        <v>1022</v>
      </c>
      <c r="B109" s="4" t="s">
        <v>3973</v>
      </c>
      <c r="C109" s="4" t="s">
        <v>3977</v>
      </c>
      <c r="D109" s="4" t="s">
        <v>3956</v>
      </c>
      <c r="E109" s="7" t="n">
        <v>2020</v>
      </c>
    </row>
    <row r="110" customFormat="false" ht="15" hidden="false" customHeight="false" outlineLevel="0" collapsed="false">
      <c r="A110" s="4" t="s">
        <v>1038</v>
      </c>
      <c r="B110" s="4" t="s">
        <v>3963</v>
      </c>
      <c r="C110" s="4" t="s">
        <v>3958</v>
      </c>
      <c r="D110" s="4" t="s">
        <v>3967</v>
      </c>
      <c r="E110" s="7" t="n">
        <v>2019</v>
      </c>
    </row>
    <row r="111" customFormat="false" ht="15" hidden="false" customHeight="false" outlineLevel="0" collapsed="false">
      <c r="A111" s="4" t="s">
        <v>1038</v>
      </c>
      <c r="B111" s="4" t="s">
        <v>3957</v>
      </c>
      <c r="C111" s="4" t="s">
        <v>3975</v>
      </c>
      <c r="D111" s="4" t="s">
        <v>3970</v>
      </c>
      <c r="E111" s="7" t="n">
        <v>2023</v>
      </c>
    </row>
    <row r="112" customFormat="false" ht="15" hidden="false" customHeight="false" outlineLevel="0" collapsed="false">
      <c r="A112" s="4" t="s">
        <v>1046</v>
      </c>
      <c r="B112" s="4" t="s">
        <v>3974</v>
      </c>
      <c r="C112" s="4" t="s">
        <v>3960</v>
      </c>
      <c r="D112" s="4" t="s">
        <v>3962</v>
      </c>
      <c r="E112" s="7" t="n">
        <v>2021</v>
      </c>
    </row>
    <row r="113" customFormat="false" ht="15" hidden="false" customHeight="false" outlineLevel="0" collapsed="false">
      <c r="A113" s="4" t="s">
        <v>1054</v>
      </c>
      <c r="B113" s="4" t="s">
        <v>3971</v>
      </c>
      <c r="C113" s="4" t="s">
        <v>3958</v>
      </c>
      <c r="D113" s="4" t="s">
        <v>3970</v>
      </c>
      <c r="E113" s="7" t="n">
        <v>2021</v>
      </c>
    </row>
    <row r="114" customFormat="false" ht="15" hidden="false" customHeight="false" outlineLevel="0" collapsed="false">
      <c r="A114" s="4" t="s">
        <v>1070</v>
      </c>
      <c r="B114" s="4" t="s">
        <v>3959</v>
      </c>
      <c r="C114" s="4" t="s">
        <v>3975</v>
      </c>
      <c r="D114" s="4" t="s">
        <v>3967</v>
      </c>
      <c r="E114" s="7" t="n">
        <v>2017</v>
      </c>
    </row>
    <row r="115" customFormat="false" ht="15" hidden="false" customHeight="false" outlineLevel="0" collapsed="false">
      <c r="A115" s="4" t="s">
        <v>1078</v>
      </c>
      <c r="B115" s="4" t="s">
        <v>3954</v>
      </c>
      <c r="C115" s="4" t="s">
        <v>3952</v>
      </c>
      <c r="D115" s="4" t="s">
        <v>3956</v>
      </c>
      <c r="E115" s="7" t="n">
        <v>2025</v>
      </c>
    </row>
    <row r="116" customFormat="false" ht="15" hidden="false" customHeight="false" outlineLevel="0" collapsed="false">
      <c r="A116" s="4" t="s">
        <v>1094</v>
      </c>
      <c r="B116" s="4" t="s">
        <v>3972</v>
      </c>
      <c r="C116" s="4" t="s">
        <v>3952</v>
      </c>
      <c r="D116" s="4" t="s">
        <v>3962</v>
      </c>
      <c r="E116" s="7" t="n">
        <v>2021</v>
      </c>
    </row>
    <row r="117" customFormat="false" ht="15" hidden="false" customHeight="false" outlineLevel="0" collapsed="false">
      <c r="A117" s="4" t="s">
        <v>1102</v>
      </c>
      <c r="B117" s="4" t="s">
        <v>3974</v>
      </c>
      <c r="C117" s="4" t="s">
        <v>3975</v>
      </c>
      <c r="D117" s="4" t="s">
        <v>3964</v>
      </c>
      <c r="E117" s="7" t="n">
        <v>2019</v>
      </c>
    </row>
    <row r="118" customFormat="false" ht="15" hidden="false" customHeight="false" outlineLevel="0" collapsed="false">
      <c r="A118" s="4" t="s">
        <v>1110</v>
      </c>
      <c r="B118" s="4" t="s">
        <v>3965</v>
      </c>
      <c r="C118" s="4" t="s">
        <v>3955</v>
      </c>
      <c r="D118" s="4" t="s">
        <v>3964</v>
      </c>
      <c r="E118" s="7" t="n">
        <v>2023</v>
      </c>
    </row>
    <row r="119" customFormat="false" ht="15" hidden="false" customHeight="false" outlineLevel="0" collapsed="false">
      <c r="A119" s="4" t="s">
        <v>1110</v>
      </c>
      <c r="B119" s="4" t="s">
        <v>3972</v>
      </c>
      <c r="C119" s="4" t="s">
        <v>3958</v>
      </c>
      <c r="D119" s="4" t="s">
        <v>3967</v>
      </c>
      <c r="E119" s="7" t="n">
        <v>2024</v>
      </c>
    </row>
    <row r="120" customFormat="false" ht="15" hidden="false" customHeight="false" outlineLevel="0" collapsed="false">
      <c r="A120" s="4" t="s">
        <v>1142</v>
      </c>
      <c r="B120" s="4" t="s">
        <v>3969</v>
      </c>
      <c r="C120" s="4" t="s">
        <v>3975</v>
      </c>
      <c r="D120" s="4" t="s">
        <v>3953</v>
      </c>
      <c r="E120" s="7" t="n">
        <v>2022</v>
      </c>
    </row>
    <row r="121" customFormat="false" ht="15" hidden="false" customHeight="false" outlineLevel="0" collapsed="false">
      <c r="A121" s="4" t="s">
        <v>1149</v>
      </c>
      <c r="B121" s="4" t="s">
        <v>3951</v>
      </c>
      <c r="C121" s="4" t="s">
        <v>3960</v>
      </c>
      <c r="D121" s="4" t="s">
        <v>3968</v>
      </c>
      <c r="E121" s="7" t="n">
        <v>2018</v>
      </c>
    </row>
    <row r="122" customFormat="false" ht="15" hidden="false" customHeight="false" outlineLevel="0" collapsed="false">
      <c r="A122" s="4" t="s">
        <v>1157</v>
      </c>
      <c r="B122" s="4" t="s">
        <v>3972</v>
      </c>
      <c r="C122" s="4" t="s">
        <v>3960</v>
      </c>
      <c r="D122" s="4" t="s">
        <v>3968</v>
      </c>
      <c r="E122" s="7" t="n">
        <v>2019</v>
      </c>
    </row>
    <row r="123" customFormat="false" ht="15" hidden="false" customHeight="false" outlineLevel="0" collapsed="false">
      <c r="A123" s="4" t="s">
        <v>1173</v>
      </c>
      <c r="B123" s="4" t="s">
        <v>3954</v>
      </c>
      <c r="C123" s="4" t="s">
        <v>3952</v>
      </c>
      <c r="D123" s="4" t="s">
        <v>3956</v>
      </c>
      <c r="E123" s="7" t="n">
        <v>2019</v>
      </c>
    </row>
    <row r="124" customFormat="false" ht="15" hidden="false" customHeight="false" outlineLevel="0" collapsed="false">
      <c r="A124" s="4" t="s">
        <v>1173</v>
      </c>
      <c r="B124" s="4" t="s">
        <v>3974</v>
      </c>
      <c r="C124" s="4" t="s">
        <v>3960</v>
      </c>
      <c r="D124" s="4" t="s">
        <v>3953</v>
      </c>
      <c r="E124" s="7" t="n">
        <v>2021</v>
      </c>
    </row>
    <row r="125" customFormat="false" ht="15" hidden="false" customHeight="false" outlineLevel="0" collapsed="false">
      <c r="A125" s="4" t="s">
        <v>1180</v>
      </c>
      <c r="B125" s="4" t="s">
        <v>3963</v>
      </c>
      <c r="C125" s="4" t="s">
        <v>3952</v>
      </c>
      <c r="D125" s="4" t="s">
        <v>3964</v>
      </c>
      <c r="E125" s="7" t="n">
        <v>2020</v>
      </c>
    </row>
    <row r="126" customFormat="false" ht="15" hidden="false" customHeight="false" outlineLevel="0" collapsed="false">
      <c r="A126" s="4" t="s">
        <v>1187</v>
      </c>
      <c r="B126" s="4" t="s">
        <v>3976</v>
      </c>
      <c r="C126" s="4" t="s">
        <v>3958</v>
      </c>
      <c r="D126" s="4" t="s">
        <v>3953</v>
      </c>
      <c r="E126" s="7" t="n">
        <v>2019</v>
      </c>
    </row>
    <row r="127" customFormat="false" ht="15" hidden="false" customHeight="false" outlineLevel="0" collapsed="false">
      <c r="A127" s="4" t="s">
        <v>1195</v>
      </c>
      <c r="B127" s="4" t="s">
        <v>3959</v>
      </c>
      <c r="C127" s="4" t="s">
        <v>3958</v>
      </c>
      <c r="D127" s="4" t="s">
        <v>3968</v>
      </c>
      <c r="E127" s="7" t="n">
        <v>2019</v>
      </c>
    </row>
    <row r="128" customFormat="false" ht="15" hidden="false" customHeight="false" outlineLevel="0" collapsed="false">
      <c r="A128" s="4" t="s">
        <v>1203</v>
      </c>
      <c r="B128" s="4" t="s">
        <v>3973</v>
      </c>
      <c r="C128" s="4" t="s">
        <v>3952</v>
      </c>
      <c r="D128" s="4" t="s">
        <v>3970</v>
      </c>
      <c r="E128" s="7" t="n">
        <v>2018</v>
      </c>
    </row>
    <row r="129" customFormat="false" ht="15" hidden="false" customHeight="false" outlineLevel="0" collapsed="false">
      <c r="A129" s="4" t="s">
        <v>1219</v>
      </c>
      <c r="B129" s="4" t="s">
        <v>3957</v>
      </c>
      <c r="C129" s="4" t="s">
        <v>3952</v>
      </c>
      <c r="D129" s="4" t="s">
        <v>3956</v>
      </c>
      <c r="E129" s="7" t="n">
        <v>2019</v>
      </c>
    </row>
    <row r="130" customFormat="false" ht="15" hidden="false" customHeight="false" outlineLevel="0" collapsed="false">
      <c r="A130" s="4" t="s">
        <v>1219</v>
      </c>
      <c r="B130" s="4" t="s">
        <v>3961</v>
      </c>
      <c r="C130" s="4" t="s">
        <v>3960</v>
      </c>
      <c r="D130" s="4" t="s">
        <v>3956</v>
      </c>
      <c r="E130" s="7" t="n">
        <v>2021</v>
      </c>
    </row>
    <row r="131" customFormat="false" ht="15" hidden="false" customHeight="false" outlineLevel="0" collapsed="false">
      <c r="A131" s="4" t="s">
        <v>1243</v>
      </c>
      <c r="B131" s="4" t="s">
        <v>3957</v>
      </c>
      <c r="C131" s="4" t="s">
        <v>3952</v>
      </c>
      <c r="D131" s="4" t="s">
        <v>3970</v>
      </c>
      <c r="E131" s="7" t="n">
        <v>2018</v>
      </c>
    </row>
    <row r="132" customFormat="false" ht="15" hidden="false" customHeight="false" outlineLevel="0" collapsed="false">
      <c r="A132" s="4" t="s">
        <v>1243</v>
      </c>
      <c r="B132" s="4" t="s">
        <v>3971</v>
      </c>
      <c r="C132" s="4" t="s">
        <v>3960</v>
      </c>
      <c r="D132" s="4" t="s">
        <v>3970</v>
      </c>
      <c r="E132" s="7" t="n">
        <v>2019</v>
      </c>
    </row>
    <row r="133" customFormat="false" ht="15" hidden="false" customHeight="false" outlineLevel="0" collapsed="false">
      <c r="A133" s="4" t="s">
        <v>1251</v>
      </c>
      <c r="B133" s="4" t="s">
        <v>3959</v>
      </c>
      <c r="C133" s="4" t="s">
        <v>3958</v>
      </c>
      <c r="D133" s="4" t="s">
        <v>3968</v>
      </c>
      <c r="E133" s="7" t="n">
        <v>2018</v>
      </c>
    </row>
    <row r="134" customFormat="false" ht="15" hidden="false" customHeight="false" outlineLevel="0" collapsed="false">
      <c r="A134" s="4" t="s">
        <v>1259</v>
      </c>
      <c r="B134" s="4" t="s">
        <v>3966</v>
      </c>
      <c r="C134" s="4" t="s">
        <v>3975</v>
      </c>
      <c r="D134" s="4" t="s">
        <v>3964</v>
      </c>
      <c r="E134" s="7" t="n">
        <v>2016</v>
      </c>
    </row>
    <row r="135" customFormat="false" ht="15" hidden="false" customHeight="false" outlineLevel="0" collapsed="false">
      <c r="A135" s="4" t="s">
        <v>1267</v>
      </c>
      <c r="B135" s="4" t="s">
        <v>3971</v>
      </c>
      <c r="C135" s="4" t="s">
        <v>3960</v>
      </c>
      <c r="D135" s="4" t="s">
        <v>3967</v>
      </c>
      <c r="E135" s="7" t="n">
        <v>2021</v>
      </c>
    </row>
    <row r="136" customFormat="false" ht="15" hidden="false" customHeight="false" outlineLevel="0" collapsed="false">
      <c r="A136" s="4" t="s">
        <v>1275</v>
      </c>
      <c r="B136" s="4" t="s">
        <v>3976</v>
      </c>
      <c r="C136" s="4" t="s">
        <v>3952</v>
      </c>
      <c r="D136" s="4" t="s">
        <v>3953</v>
      </c>
      <c r="E136" s="7" t="n">
        <v>2019</v>
      </c>
    </row>
    <row r="137" customFormat="false" ht="15" hidden="false" customHeight="false" outlineLevel="0" collapsed="false">
      <c r="A137" s="4" t="s">
        <v>1275</v>
      </c>
      <c r="B137" s="4" t="s">
        <v>3959</v>
      </c>
      <c r="C137" s="4" t="s">
        <v>3955</v>
      </c>
      <c r="D137" s="4" t="s">
        <v>3970</v>
      </c>
      <c r="E137" s="7" t="n">
        <v>2023</v>
      </c>
    </row>
    <row r="138" customFormat="false" ht="15" hidden="false" customHeight="false" outlineLevel="0" collapsed="false">
      <c r="A138" s="4" t="s">
        <v>1282</v>
      </c>
      <c r="B138" s="4" t="s">
        <v>3976</v>
      </c>
      <c r="C138" s="4" t="s">
        <v>3958</v>
      </c>
      <c r="D138" s="4" t="s">
        <v>3970</v>
      </c>
      <c r="E138" s="7" t="n">
        <v>2020</v>
      </c>
    </row>
    <row r="139" customFormat="false" ht="15" hidden="false" customHeight="false" outlineLevel="0" collapsed="false">
      <c r="A139" s="4" t="s">
        <v>1297</v>
      </c>
      <c r="B139" s="4" t="s">
        <v>3959</v>
      </c>
      <c r="C139" s="4" t="s">
        <v>3952</v>
      </c>
      <c r="D139" s="4" t="s">
        <v>3964</v>
      </c>
      <c r="E139" s="7" t="n">
        <v>2023</v>
      </c>
    </row>
    <row r="140" customFormat="false" ht="15" hidden="false" customHeight="false" outlineLevel="0" collapsed="false">
      <c r="A140" s="4" t="s">
        <v>1297</v>
      </c>
      <c r="B140" s="4" t="s">
        <v>3966</v>
      </c>
      <c r="C140" s="4" t="s">
        <v>3952</v>
      </c>
      <c r="D140" s="4" t="s">
        <v>3964</v>
      </c>
      <c r="E140" s="7" t="n">
        <v>2021</v>
      </c>
    </row>
    <row r="141" customFormat="false" ht="15" hidden="false" customHeight="false" outlineLevel="0" collapsed="false">
      <c r="A141" s="4" t="s">
        <v>1321</v>
      </c>
      <c r="B141" s="4" t="s">
        <v>3959</v>
      </c>
      <c r="C141" s="4" t="s">
        <v>3958</v>
      </c>
      <c r="D141" s="4" t="s">
        <v>3967</v>
      </c>
      <c r="E141" s="7" t="n">
        <v>2024</v>
      </c>
    </row>
    <row r="142" customFormat="false" ht="15" hidden="false" customHeight="false" outlineLevel="0" collapsed="false">
      <c r="A142" s="4" t="s">
        <v>1337</v>
      </c>
      <c r="B142" s="4" t="s">
        <v>3973</v>
      </c>
      <c r="C142" s="4" t="s">
        <v>3977</v>
      </c>
      <c r="D142" s="4" t="s">
        <v>3964</v>
      </c>
      <c r="E142" s="7" t="n">
        <v>2024</v>
      </c>
    </row>
    <row r="143" customFormat="false" ht="15" hidden="false" customHeight="false" outlineLevel="0" collapsed="false">
      <c r="A143" s="4" t="s">
        <v>1352</v>
      </c>
      <c r="B143" s="4" t="s">
        <v>3973</v>
      </c>
      <c r="C143" s="4" t="s">
        <v>3955</v>
      </c>
      <c r="D143" s="4" t="s">
        <v>3962</v>
      </c>
      <c r="E143" s="7" t="n">
        <v>2019</v>
      </c>
    </row>
    <row r="144" customFormat="false" ht="15" hidden="false" customHeight="false" outlineLevel="0" collapsed="false">
      <c r="A144" s="4" t="s">
        <v>1375</v>
      </c>
      <c r="B144" s="4" t="s">
        <v>3973</v>
      </c>
      <c r="C144" s="4" t="s">
        <v>3955</v>
      </c>
      <c r="D144" s="4" t="s">
        <v>3962</v>
      </c>
      <c r="E144" s="7" t="n">
        <v>2022</v>
      </c>
    </row>
    <row r="145" customFormat="false" ht="15" hidden="false" customHeight="false" outlineLevel="0" collapsed="false">
      <c r="A145" s="4" t="s">
        <v>1391</v>
      </c>
      <c r="B145" s="4" t="s">
        <v>3965</v>
      </c>
      <c r="C145" s="4" t="s">
        <v>3960</v>
      </c>
      <c r="D145" s="4" t="s">
        <v>3956</v>
      </c>
      <c r="E145" s="7" t="n">
        <v>2021</v>
      </c>
    </row>
    <row r="146" customFormat="false" ht="15" hidden="false" customHeight="false" outlineLevel="0" collapsed="false">
      <c r="A146" s="4" t="s">
        <v>1398</v>
      </c>
      <c r="B146" s="4" t="s">
        <v>3951</v>
      </c>
      <c r="C146" s="4" t="s">
        <v>3975</v>
      </c>
      <c r="D146" s="4" t="s">
        <v>3953</v>
      </c>
      <c r="E146" s="7" t="n">
        <v>2023</v>
      </c>
    </row>
    <row r="147" customFormat="false" ht="15" hidden="false" customHeight="false" outlineLevel="0" collapsed="false">
      <c r="A147" s="4" t="s">
        <v>1406</v>
      </c>
      <c r="B147" s="4" t="s">
        <v>3969</v>
      </c>
      <c r="C147" s="4" t="s">
        <v>3958</v>
      </c>
      <c r="D147" s="4" t="s">
        <v>3964</v>
      </c>
      <c r="E147" s="7" t="n">
        <v>2018</v>
      </c>
    </row>
    <row r="148" customFormat="false" ht="15" hidden="false" customHeight="false" outlineLevel="0" collapsed="false">
      <c r="A148" s="4" t="s">
        <v>1406</v>
      </c>
      <c r="B148" s="4" t="s">
        <v>3951</v>
      </c>
      <c r="C148" s="4" t="s">
        <v>3960</v>
      </c>
      <c r="D148" s="4" t="s">
        <v>3956</v>
      </c>
      <c r="E148" s="7" t="n">
        <v>2021</v>
      </c>
    </row>
    <row r="149" customFormat="false" ht="15" hidden="false" customHeight="false" outlineLevel="0" collapsed="false">
      <c r="A149" s="4" t="s">
        <v>1414</v>
      </c>
      <c r="B149" s="4" t="s">
        <v>3969</v>
      </c>
      <c r="C149" s="4" t="s">
        <v>3960</v>
      </c>
      <c r="D149" s="4" t="s">
        <v>3967</v>
      </c>
      <c r="E149" s="7" t="n">
        <v>2020</v>
      </c>
    </row>
    <row r="150" customFormat="false" ht="15" hidden="false" customHeight="false" outlineLevel="0" collapsed="false">
      <c r="A150" s="4" t="s">
        <v>1429</v>
      </c>
      <c r="B150" s="4" t="s">
        <v>3965</v>
      </c>
      <c r="C150" s="4" t="s">
        <v>3960</v>
      </c>
      <c r="D150" s="4" t="s">
        <v>3967</v>
      </c>
      <c r="E150" s="7" t="n">
        <v>2017</v>
      </c>
    </row>
    <row r="151" customFormat="false" ht="15" hidden="false" customHeight="false" outlineLevel="0" collapsed="false">
      <c r="A151" s="4" t="s">
        <v>1437</v>
      </c>
      <c r="B151" s="4" t="s">
        <v>3973</v>
      </c>
      <c r="C151" s="4" t="s">
        <v>3958</v>
      </c>
      <c r="D151" s="4" t="s">
        <v>3962</v>
      </c>
      <c r="E151" s="7" t="n">
        <v>2022</v>
      </c>
    </row>
    <row r="152" customFormat="false" ht="15" hidden="false" customHeight="false" outlineLevel="0" collapsed="false">
      <c r="A152" s="4" t="s">
        <v>1458</v>
      </c>
      <c r="B152" s="4" t="s">
        <v>3959</v>
      </c>
      <c r="C152" s="4" t="s">
        <v>3958</v>
      </c>
      <c r="D152" s="4" t="s">
        <v>3970</v>
      </c>
      <c r="E152" s="7" t="n">
        <v>2019</v>
      </c>
    </row>
    <row r="153" customFormat="false" ht="15" hidden="false" customHeight="false" outlineLevel="0" collapsed="false">
      <c r="A153" s="4" t="s">
        <v>1466</v>
      </c>
      <c r="B153" s="4" t="s">
        <v>3957</v>
      </c>
      <c r="C153" s="4" t="s">
        <v>3952</v>
      </c>
      <c r="D153" s="4" t="s">
        <v>3964</v>
      </c>
      <c r="E153" s="7" t="n">
        <v>2022</v>
      </c>
    </row>
    <row r="154" customFormat="false" ht="15" hidden="false" customHeight="false" outlineLevel="0" collapsed="false">
      <c r="A154" s="4" t="s">
        <v>1482</v>
      </c>
      <c r="B154" s="4" t="s">
        <v>3959</v>
      </c>
      <c r="C154" s="4" t="s">
        <v>3952</v>
      </c>
      <c r="D154" s="4" t="s">
        <v>3953</v>
      </c>
      <c r="E154" s="7" t="n">
        <v>2020</v>
      </c>
    </row>
    <row r="155" customFormat="false" ht="15" hidden="false" customHeight="false" outlineLevel="0" collapsed="false">
      <c r="A155" s="4" t="s">
        <v>1498</v>
      </c>
      <c r="B155" s="4" t="s">
        <v>3966</v>
      </c>
      <c r="C155" s="4" t="s">
        <v>3960</v>
      </c>
      <c r="D155" s="4" t="s">
        <v>3953</v>
      </c>
      <c r="E155" s="7" t="n">
        <v>2019</v>
      </c>
    </row>
    <row r="156" customFormat="false" ht="15" hidden="false" customHeight="false" outlineLevel="0" collapsed="false">
      <c r="A156" s="4" t="s">
        <v>1506</v>
      </c>
      <c r="B156" s="4" t="s">
        <v>3974</v>
      </c>
      <c r="C156" s="4" t="s">
        <v>3960</v>
      </c>
      <c r="D156" s="4" t="s">
        <v>3962</v>
      </c>
      <c r="E156" s="7" t="n">
        <v>2025</v>
      </c>
    </row>
    <row r="157" customFormat="false" ht="15" hidden="false" customHeight="false" outlineLevel="0" collapsed="false">
      <c r="A157" s="4" t="s">
        <v>1506</v>
      </c>
      <c r="B157" s="4" t="s">
        <v>3965</v>
      </c>
      <c r="C157" s="4" t="s">
        <v>3958</v>
      </c>
      <c r="D157" s="4" t="s">
        <v>3968</v>
      </c>
      <c r="E157" s="7" t="n">
        <v>2024</v>
      </c>
    </row>
    <row r="158" customFormat="false" ht="15" hidden="false" customHeight="false" outlineLevel="0" collapsed="false">
      <c r="A158" s="4" t="s">
        <v>1514</v>
      </c>
      <c r="B158" s="4" t="s">
        <v>3954</v>
      </c>
      <c r="C158" s="4" t="s">
        <v>3958</v>
      </c>
      <c r="D158" s="4" t="s">
        <v>3970</v>
      </c>
      <c r="E158" s="7" t="n">
        <v>2021</v>
      </c>
    </row>
    <row r="159" customFormat="false" ht="15" hidden="false" customHeight="false" outlineLevel="0" collapsed="false">
      <c r="A159" s="4" t="s">
        <v>1522</v>
      </c>
      <c r="B159" s="4" t="s">
        <v>3973</v>
      </c>
      <c r="C159" s="4" t="s">
        <v>3975</v>
      </c>
      <c r="D159" s="4" t="s">
        <v>3962</v>
      </c>
      <c r="E159" s="7" t="n">
        <v>2022</v>
      </c>
    </row>
    <row r="160" customFormat="false" ht="15" hidden="false" customHeight="false" outlineLevel="0" collapsed="false">
      <c r="A160" s="4" t="s">
        <v>1530</v>
      </c>
      <c r="B160" s="4" t="s">
        <v>3959</v>
      </c>
      <c r="C160" s="4" t="s">
        <v>3952</v>
      </c>
      <c r="D160" s="4" t="s">
        <v>3953</v>
      </c>
      <c r="E160" s="7" t="n">
        <v>2023</v>
      </c>
    </row>
    <row r="161" customFormat="false" ht="15" hidden="false" customHeight="false" outlineLevel="0" collapsed="false">
      <c r="A161" s="4" t="s">
        <v>1537</v>
      </c>
      <c r="B161" s="4" t="s">
        <v>3972</v>
      </c>
      <c r="C161" s="4" t="s">
        <v>3958</v>
      </c>
      <c r="D161" s="4" t="s">
        <v>3968</v>
      </c>
      <c r="E161" s="7" t="n">
        <v>2021</v>
      </c>
    </row>
    <row r="162" customFormat="false" ht="15" hidden="false" customHeight="false" outlineLevel="0" collapsed="false">
      <c r="A162" s="4" t="s">
        <v>1545</v>
      </c>
      <c r="B162" s="4" t="s">
        <v>3974</v>
      </c>
      <c r="C162" s="4" t="s">
        <v>3952</v>
      </c>
      <c r="D162" s="4" t="s">
        <v>3968</v>
      </c>
      <c r="E162" s="7" t="n">
        <v>2022</v>
      </c>
    </row>
    <row r="163" customFormat="false" ht="15" hidden="false" customHeight="false" outlineLevel="0" collapsed="false">
      <c r="A163" s="4" t="s">
        <v>1545</v>
      </c>
      <c r="B163" s="4" t="s">
        <v>3961</v>
      </c>
      <c r="C163" s="4" t="s">
        <v>3952</v>
      </c>
      <c r="D163" s="4" t="s">
        <v>3962</v>
      </c>
      <c r="E163" s="7" t="n">
        <v>2022</v>
      </c>
    </row>
    <row r="164" customFormat="false" ht="15" hidden="false" customHeight="false" outlineLevel="0" collapsed="false">
      <c r="A164" s="4" t="s">
        <v>1561</v>
      </c>
      <c r="B164" s="4" t="s">
        <v>3976</v>
      </c>
      <c r="C164" s="4" t="s">
        <v>3952</v>
      </c>
      <c r="D164" s="4" t="s">
        <v>3962</v>
      </c>
      <c r="E164" s="7" t="n">
        <v>2018</v>
      </c>
    </row>
    <row r="165" customFormat="false" ht="15" hidden="false" customHeight="false" outlineLevel="0" collapsed="false">
      <c r="A165" s="4" t="s">
        <v>1583</v>
      </c>
      <c r="B165" s="4" t="s">
        <v>3974</v>
      </c>
      <c r="C165" s="4" t="s">
        <v>3958</v>
      </c>
      <c r="D165" s="4" t="s">
        <v>3953</v>
      </c>
      <c r="E165" s="7" t="n">
        <v>2020</v>
      </c>
    </row>
    <row r="166" customFormat="false" ht="15" hidden="false" customHeight="false" outlineLevel="0" collapsed="false">
      <c r="A166" s="4" t="s">
        <v>1599</v>
      </c>
      <c r="B166" s="4" t="s">
        <v>3971</v>
      </c>
      <c r="C166" s="4" t="s">
        <v>3958</v>
      </c>
      <c r="D166" s="4" t="s">
        <v>3962</v>
      </c>
      <c r="E166" s="7" t="n">
        <v>2018</v>
      </c>
    </row>
    <row r="167" customFormat="false" ht="15" hidden="false" customHeight="false" outlineLevel="0" collapsed="false">
      <c r="A167" s="4" t="s">
        <v>1599</v>
      </c>
      <c r="B167" s="4" t="s">
        <v>3959</v>
      </c>
      <c r="C167" s="4" t="s">
        <v>3960</v>
      </c>
      <c r="D167" s="4" t="s">
        <v>3964</v>
      </c>
      <c r="E167" s="7" t="n">
        <v>2021</v>
      </c>
    </row>
    <row r="168" customFormat="false" ht="15" hidden="false" customHeight="false" outlineLevel="0" collapsed="false">
      <c r="A168" s="4" t="s">
        <v>1615</v>
      </c>
      <c r="B168" s="4" t="s">
        <v>3972</v>
      </c>
      <c r="C168" s="4" t="s">
        <v>3960</v>
      </c>
      <c r="D168" s="4" t="s">
        <v>3964</v>
      </c>
      <c r="E168" s="7" t="n">
        <v>2021</v>
      </c>
    </row>
    <row r="169" customFormat="false" ht="15" hidden="false" customHeight="false" outlineLevel="0" collapsed="false">
      <c r="A169" s="4" t="s">
        <v>1623</v>
      </c>
      <c r="B169" s="4" t="s">
        <v>3954</v>
      </c>
      <c r="C169" s="4" t="s">
        <v>3975</v>
      </c>
      <c r="D169" s="4" t="s">
        <v>3956</v>
      </c>
      <c r="E169" s="7" t="n">
        <v>2017</v>
      </c>
    </row>
    <row r="170" customFormat="false" ht="15" hidden="false" customHeight="false" outlineLevel="0" collapsed="false">
      <c r="A170" s="4" t="s">
        <v>1623</v>
      </c>
      <c r="B170" s="4" t="s">
        <v>3961</v>
      </c>
      <c r="C170" s="4" t="s">
        <v>3958</v>
      </c>
      <c r="D170" s="4" t="s">
        <v>3962</v>
      </c>
      <c r="E170" s="7" t="n">
        <v>2020</v>
      </c>
    </row>
    <row r="171" customFormat="false" ht="15" hidden="false" customHeight="false" outlineLevel="0" collapsed="false">
      <c r="A171" s="4" t="s">
        <v>1631</v>
      </c>
      <c r="B171" s="4" t="s">
        <v>3963</v>
      </c>
      <c r="C171" s="4" t="s">
        <v>3958</v>
      </c>
      <c r="D171" s="4" t="s">
        <v>3967</v>
      </c>
      <c r="E171" s="7" t="n">
        <v>2023</v>
      </c>
    </row>
    <row r="172" customFormat="false" ht="15" hidden="false" customHeight="false" outlineLevel="0" collapsed="false">
      <c r="A172" s="4" t="s">
        <v>1647</v>
      </c>
      <c r="B172" s="4" t="s">
        <v>3957</v>
      </c>
      <c r="C172" s="4" t="s">
        <v>3977</v>
      </c>
      <c r="D172" s="4" t="s">
        <v>3967</v>
      </c>
      <c r="E172" s="7" t="n">
        <v>2021</v>
      </c>
    </row>
    <row r="173" customFormat="false" ht="15" hidden="false" customHeight="false" outlineLevel="0" collapsed="false">
      <c r="A173" s="4" t="s">
        <v>1647</v>
      </c>
      <c r="B173" s="4" t="s">
        <v>3963</v>
      </c>
      <c r="C173" s="4" t="s">
        <v>3960</v>
      </c>
      <c r="D173" s="4" t="s">
        <v>3953</v>
      </c>
      <c r="E173" s="7" t="n">
        <v>2018</v>
      </c>
    </row>
    <row r="174" customFormat="false" ht="15" hidden="false" customHeight="false" outlineLevel="0" collapsed="false">
      <c r="A174" s="4" t="s">
        <v>1655</v>
      </c>
      <c r="B174" s="4" t="s">
        <v>3971</v>
      </c>
      <c r="C174" s="4" t="s">
        <v>3960</v>
      </c>
      <c r="D174" s="4" t="s">
        <v>3964</v>
      </c>
      <c r="E174" s="7" t="n">
        <v>2020</v>
      </c>
    </row>
    <row r="175" customFormat="false" ht="15" hidden="false" customHeight="false" outlineLevel="0" collapsed="false">
      <c r="A175" s="4" t="s">
        <v>1679</v>
      </c>
      <c r="B175" s="4" t="s">
        <v>3976</v>
      </c>
      <c r="C175" s="4" t="s">
        <v>3958</v>
      </c>
      <c r="D175" s="4" t="s">
        <v>3970</v>
      </c>
      <c r="E175" s="7" t="n">
        <v>2025</v>
      </c>
    </row>
    <row r="176" customFormat="false" ht="15" hidden="false" customHeight="false" outlineLevel="0" collapsed="false">
      <c r="A176" s="4" t="s">
        <v>1679</v>
      </c>
      <c r="B176" s="4" t="s">
        <v>3954</v>
      </c>
      <c r="C176" s="4" t="s">
        <v>3975</v>
      </c>
      <c r="D176" s="4" t="s">
        <v>3970</v>
      </c>
      <c r="E176" s="7" t="n">
        <v>2024</v>
      </c>
    </row>
    <row r="177" customFormat="false" ht="15" hidden="false" customHeight="false" outlineLevel="0" collapsed="false">
      <c r="A177" s="4" t="s">
        <v>1695</v>
      </c>
      <c r="B177" s="4" t="s">
        <v>3976</v>
      </c>
      <c r="C177" s="4" t="s">
        <v>3955</v>
      </c>
      <c r="D177" s="4" t="s">
        <v>3953</v>
      </c>
      <c r="E177" s="7" t="n">
        <v>2020</v>
      </c>
    </row>
    <row r="178" customFormat="false" ht="15" hidden="false" customHeight="false" outlineLevel="0" collapsed="false">
      <c r="A178" s="4" t="s">
        <v>1703</v>
      </c>
      <c r="B178" s="4" t="s">
        <v>3976</v>
      </c>
      <c r="C178" s="4" t="s">
        <v>3958</v>
      </c>
      <c r="D178" s="4" t="s">
        <v>3953</v>
      </c>
      <c r="E178" s="7" t="n">
        <v>2022</v>
      </c>
    </row>
    <row r="179" customFormat="false" ht="15" hidden="false" customHeight="false" outlineLevel="0" collapsed="false">
      <c r="A179" s="4" t="s">
        <v>1711</v>
      </c>
      <c r="B179" s="4" t="s">
        <v>3971</v>
      </c>
      <c r="C179" s="4" t="s">
        <v>3955</v>
      </c>
      <c r="D179" s="4" t="s">
        <v>3964</v>
      </c>
      <c r="E179" s="7" t="n">
        <v>2019</v>
      </c>
    </row>
    <row r="180" customFormat="false" ht="15" hidden="false" customHeight="false" outlineLevel="0" collapsed="false">
      <c r="A180" s="4" t="s">
        <v>1719</v>
      </c>
      <c r="B180" s="4" t="s">
        <v>3965</v>
      </c>
      <c r="C180" s="4" t="s">
        <v>3960</v>
      </c>
      <c r="D180" s="4" t="s">
        <v>3970</v>
      </c>
      <c r="E180" s="7" t="n">
        <v>2023</v>
      </c>
    </row>
    <row r="181" customFormat="false" ht="15" hidden="false" customHeight="false" outlineLevel="0" collapsed="false">
      <c r="A181" s="4" t="s">
        <v>1726</v>
      </c>
      <c r="B181" s="4" t="s">
        <v>3974</v>
      </c>
      <c r="C181" s="4" t="s">
        <v>3958</v>
      </c>
      <c r="D181" s="4" t="s">
        <v>3970</v>
      </c>
      <c r="E181" s="7" t="n">
        <v>2019</v>
      </c>
    </row>
    <row r="182" customFormat="false" ht="15" hidden="false" customHeight="false" outlineLevel="0" collapsed="false">
      <c r="A182" s="4" t="s">
        <v>1726</v>
      </c>
      <c r="B182" s="4" t="s">
        <v>3951</v>
      </c>
      <c r="C182" s="4" t="s">
        <v>3952</v>
      </c>
      <c r="D182" s="4" t="s">
        <v>3953</v>
      </c>
      <c r="E182" s="7" t="n">
        <v>2020</v>
      </c>
    </row>
    <row r="183" customFormat="false" ht="15" hidden="false" customHeight="false" outlineLevel="0" collapsed="false">
      <c r="A183" s="4" t="s">
        <v>1733</v>
      </c>
      <c r="B183" s="4" t="s">
        <v>3973</v>
      </c>
      <c r="C183" s="4" t="s">
        <v>3958</v>
      </c>
      <c r="D183" s="4" t="s">
        <v>3967</v>
      </c>
      <c r="E183" s="7" t="n">
        <v>2022</v>
      </c>
    </row>
    <row r="184" customFormat="false" ht="15" hidden="false" customHeight="false" outlineLevel="0" collapsed="false">
      <c r="A184" s="4" t="s">
        <v>1741</v>
      </c>
      <c r="B184" s="4" t="s">
        <v>3961</v>
      </c>
      <c r="C184" s="4" t="s">
        <v>3952</v>
      </c>
      <c r="D184" s="4" t="s">
        <v>3968</v>
      </c>
      <c r="E184" s="7" t="n">
        <v>2020</v>
      </c>
    </row>
    <row r="185" customFormat="false" ht="15" hidden="false" customHeight="false" outlineLevel="0" collapsed="false">
      <c r="A185" s="4" t="s">
        <v>1748</v>
      </c>
      <c r="B185" s="4" t="s">
        <v>3974</v>
      </c>
      <c r="C185" s="4" t="s">
        <v>3952</v>
      </c>
      <c r="D185" s="4" t="s">
        <v>3968</v>
      </c>
      <c r="E185" s="7" t="n">
        <v>2022</v>
      </c>
    </row>
    <row r="186" customFormat="false" ht="15" hidden="false" customHeight="false" outlineLevel="0" collapsed="false">
      <c r="A186" s="4" t="s">
        <v>1764</v>
      </c>
      <c r="B186" s="4" t="s">
        <v>3971</v>
      </c>
      <c r="C186" s="4" t="s">
        <v>3958</v>
      </c>
      <c r="D186" s="4" t="s">
        <v>3968</v>
      </c>
      <c r="E186" s="7" t="n">
        <v>2022</v>
      </c>
    </row>
    <row r="187" customFormat="false" ht="15" hidden="false" customHeight="false" outlineLevel="0" collapsed="false">
      <c r="A187" s="4" t="s">
        <v>1772</v>
      </c>
      <c r="B187" s="4" t="s">
        <v>3965</v>
      </c>
      <c r="C187" s="4" t="s">
        <v>3960</v>
      </c>
      <c r="D187" s="4" t="s">
        <v>3967</v>
      </c>
      <c r="E187" s="7" t="n">
        <v>2021</v>
      </c>
    </row>
    <row r="188" customFormat="false" ht="15" hidden="false" customHeight="false" outlineLevel="0" collapsed="false">
      <c r="A188" s="4" t="s">
        <v>1772</v>
      </c>
      <c r="B188" s="4" t="s">
        <v>3959</v>
      </c>
      <c r="C188" s="4" t="s">
        <v>3952</v>
      </c>
      <c r="D188" s="4" t="s">
        <v>3956</v>
      </c>
      <c r="E188" s="7" t="n">
        <v>2022</v>
      </c>
    </row>
    <row r="189" customFormat="false" ht="15" hidden="false" customHeight="false" outlineLevel="0" collapsed="false">
      <c r="A189" s="4" t="s">
        <v>1788</v>
      </c>
      <c r="B189" s="4" t="s">
        <v>3965</v>
      </c>
      <c r="C189" s="4" t="s">
        <v>3960</v>
      </c>
      <c r="D189" s="4" t="s">
        <v>3962</v>
      </c>
      <c r="E189" s="7" t="n">
        <v>2017</v>
      </c>
    </row>
    <row r="190" customFormat="false" ht="15" hidden="false" customHeight="false" outlineLevel="0" collapsed="false">
      <c r="A190" s="4" t="s">
        <v>1788</v>
      </c>
      <c r="B190" s="4" t="s">
        <v>3951</v>
      </c>
      <c r="C190" s="4" t="s">
        <v>3955</v>
      </c>
      <c r="D190" s="4" t="s">
        <v>3967</v>
      </c>
      <c r="E190" s="7" t="n">
        <v>2018</v>
      </c>
    </row>
    <row r="191" customFormat="false" ht="15" hidden="false" customHeight="false" outlineLevel="0" collapsed="false">
      <c r="A191" s="4" t="s">
        <v>1803</v>
      </c>
      <c r="B191" s="4" t="s">
        <v>3954</v>
      </c>
      <c r="C191" s="4" t="s">
        <v>3958</v>
      </c>
      <c r="D191" s="4" t="s">
        <v>3968</v>
      </c>
      <c r="E191" s="7" t="n">
        <v>2019</v>
      </c>
    </row>
    <row r="192" customFormat="false" ht="15" hidden="false" customHeight="false" outlineLevel="0" collapsed="false">
      <c r="A192" s="4" t="s">
        <v>1811</v>
      </c>
      <c r="B192" s="4" t="s">
        <v>3957</v>
      </c>
      <c r="C192" s="4" t="s">
        <v>3955</v>
      </c>
      <c r="D192" s="4" t="s">
        <v>3953</v>
      </c>
      <c r="E192" s="7" t="n">
        <v>2017</v>
      </c>
    </row>
    <row r="193" customFormat="false" ht="15" hidden="false" customHeight="false" outlineLevel="0" collapsed="false">
      <c r="A193" s="4" t="s">
        <v>1819</v>
      </c>
      <c r="B193" s="4" t="s">
        <v>3969</v>
      </c>
      <c r="C193" s="4" t="s">
        <v>3960</v>
      </c>
      <c r="D193" s="4" t="s">
        <v>3953</v>
      </c>
      <c r="E193" s="7" t="n">
        <v>2017</v>
      </c>
    </row>
    <row r="194" customFormat="false" ht="15" hidden="false" customHeight="false" outlineLevel="0" collapsed="false">
      <c r="A194" s="4" t="s">
        <v>1826</v>
      </c>
      <c r="B194" s="4" t="s">
        <v>3973</v>
      </c>
      <c r="C194" s="4" t="s">
        <v>3960</v>
      </c>
      <c r="D194" s="4" t="s">
        <v>3970</v>
      </c>
      <c r="E194" s="7" t="n">
        <v>2021</v>
      </c>
    </row>
    <row r="195" customFormat="false" ht="15" hidden="false" customHeight="false" outlineLevel="0" collapsed="false">
      <c r="A195" s="4" t="s">
        <v>1842</v>
      </c>
      <c r="B195" s="4" t="s">
        <v>3965</v>
      </c>
      <c r="C195" s="4" t="s">
        <v>3955</v>
      </c>
      <c r="D195" s="4" t="s">
        <v>3962</v>
      </c>
      <c r="E195" s="7" t="n">
        <v>2019</v>
      </c>
    </row>
    <row r="196" customFormat="false" ht="15" hidden="false" customHeight="false" outlineLevel="0" collapsed="false">
      <c r="A196" s="4" t="s">
        <v>1842</v>
      </c>
      <c r="B196" s="4" t="s">
        <v>3976</v>
      </c>
      <c r="C196" s="4" t="s">
        <v>3960</v>
      </c>
      <c r="D196" s="4" t="s">
        <v>3953</v>
      </c>
      <c r="E196" s="7" t="n">
        <v>2023</v>
      </c>
    </row>
    <row r="197" customFormat="false" ht="15" hidden="false" customHeight="false" outlineLevel="0" collapsed="false">
      <c r="A197" s="4" t="s">
        <v>1850</v>
      </c>
      <c r="B197" s="4" t="s">
        <v>3961</v>
      </c>
      <c r="C197" s="4" t="s">
        <v>3960</v>
      </c>
      <c r="D197" s="4" t="s">
        <v>3964</v>
      </c>
      <c r="E197" s="7" t="n">
        <v>2020</v>
      </c>
    </row>
    <row r="198" customFormat="false" ht="15" hidden="false" customHeight="false" outlineLevel="0" collapsed="false">
      <c r="A198" s="4" t="s">
        <v>1865</v>
      </c>
      <c r="B198" s="4" t="s">
        <v>3971</v>
      </c>
      <c r="C198" s="4" t="s">
        <v>3960</v>
      </c>
      <c r="D198" s="4" t="s">
        <v>3964</v>
      </c>
      <c r="E198" s="7" t="n">
        <v>2020</v>
      </c>
    </row>
    <row r="199" customFormat="false" ht="15" hidden="false" customHeight="false" outlineLevel="0" collapsed="false">
      <c r="A199" s="4" t="s">
        <v>1880</v>
      </c>
      <c r="B199" s="4" t="s">
        <v>3966</v>
      </c>
      <c r="C199" s="4" t="s">
        <v>3960</v>
      </c>
      <c r="D199" s="4" t="s">
        <v>3964</v>
      </c>
      <c r="E199" s="7" t="n">
        <v>2018</v>
      </c>
    </row>
    <row r="200" customFormat="false" ht="15" hidden="false" customHeight="false" outlineLevel="0" collapsed="false">
      <c r="A200" s="4" t="s">
        <v>1888</v>
      </c>
      <c r="B200" s="4" t="s">
        <v>3957</v>
      </c>
      <c r="C200" s="4" t="s">
        <v>3955</v>
      </c>
      <c r="D200" s="4" t="s">
        <v>3970</v>
      </c>
      <c r="E200" s="7" t="n">
        <v>2021</v>
      </c>
    </row>
    <row r="201" customFormat="false" ht="15" hidden="false" customHeight="false" outlineLevel="0" collapsed="false">
      <c r="A201" s="4" t="s">
        <v>1888</v>
      </c>
      <c r="B201" s="4" t="s">
        <v>3963</v>
      </c>
      <c r="C201" s="4" t="s">
        <v>3955</v>
      </c>
      <c r="D201" s="4" t="s">
        <v>3970</v>
      </c>
      <c r="E201" s="7" t="n">
        <v>2020</v>
      </c>
    </row>
    <row r="202" customFormat="false" ht="15" hidden="false" customHeight="false" outlineLevel="0" collapsed="false">
      <c r="A202" s="4" t="s">
        <v>1896</v>
      </c>
      <c r="B202" s="4" t="s">
        <v>3966</v>
      </c>
      <c r="C202" s="4" t="s">
        <v>3955</v>
      </c>
      <c r="D202" s="4" t="s">
        <v>3968</v>
      </c>
      <c r="E202" s="7" t="n">
        <v>2021</v>
      </c>
    </row>
    <row r="203" customFormat="false" ht="15" hidden="false" customHeight="false" outlineLevel="0" collapsed="false">
      <c r="A203" s="4" t="s">
        <v>1910</v>
      </c>
      <c r="B203" s="4" t="s">
        <v>3976</v>
      </c>
      <c r="C203" s="4" t="s">
        <v>3952</v>
      </c>
      <c r="D203" s="4" t="s">
        <v>3968</v>
      </c>
      <c r="E203" s="7" t="n">
        <v>2019</v>
      </c>
    </row>
    <row r="204" customFormat="false" ht="15" hidden="false" customHeight="false" outlineLevel="0" collapsed="false">
      <c r="A204" s="4" t="s">
        <v>1910</v>
      </c>
      <c r="B204" s="4" t="s">
        <v>3963</v>
      </c>
      <c r="C204" s="4" t="s">
        <v>3960</v>
      </c>
      <c r="D204" s="4" t="s">
        <v>3956</v>
      </c>
      <c r="E204" s="7" t="n">
        <v>2023</v>
      </c>
    </row>
    <row r="205" customFormat="false" ht="15" hidden="false" customHeight="false" outlineLevel="0" collapsed="false">
      <c r="A205" s="4" t="s">
        <v>1924</v>
      </c>
      <c r="B205" s="4" t="s">
        <v>3969</v>
      </c>
      <c r="C205" s="4" t="s">
        <v>3955</v>
      </c>
      <c r="D205" s="4" t="s">
        <v>3964</v>
      </c>
      <c r="E205" s="7" t="n">
        <v>2023</v>
      </c>
    </row>
    <row r="206" customFormat="false" ht="15" hidden="false" customHeight="false" outlineLevel="0" collapsed="false">
      <c r="A206" s="4" t="s">
        <v>1932</v>
      </c>
      <c r="B206" s="4" t="s">
        <v>3971</v>
      </c>
      <c r="C206" s="4" t="s">
        <v>3955</v>
      </c>
      <c r="D206" s="4" t="s">
        <v>3964</v>
      </c>
      <c r="E206" s="7" t="n">
        <v>2021</v>
      </c>
    </row>
    <row r="207" customFormat="false" ht="15" hidden="false" customHeight="false" outlineLevel="0" collapsed="false">
      <c r="A207" s="4" t="s">
        <v>1940</v>
      </c>
      <c r="B207" s="4" t="s">
        <v>3954</v>
      </c>
      <c r="C207" s="4" t="s">
        <v>3958</v>
      </c>
      <c r="D207" s="4" t="s">
        <v>3964</v>
      </c>
      <c r="E207" s="7" t="n">
        <v>2022</v>
      </c>
    </row>
    <row r="208" customFormat="false" ht="15" hidden="false" customHeight="false" outlineLevel="0" collapsed="false">
      <c r="A208" s="4" t="s">
        <v>1947</v>
      </c>
      <c r="B208" s="4" t="s">
        <v>3959</v>
      </c>
      <c r="C208" s="4" t="s">
        <v>3958</v>
      </c>
      <c r="D208" s="4" t="s">
        <v>3964</v>
      </c>
      <c r="E208" s="7" t="n">
        <v>2018</v>
      </c>
    </row>
    <row r="209" customFormat="false" ht="15" hidden="false" customHeight="false" outlineLevel="0" collapsed="false">
      <c r="A209" s="4" t="s">
        <v>1947</v>
      </c>
      <c r="B209" s="4" t="s">
        <v>3972</v>
      </c>
      <c r="C209" s="4" t="s">
        <v>3960</v>
      </c>
      <c r="D209" s="4" t="s">
        <v>3970</v>
      </c>
      <c r="E209" s="7" t="n">
        <v>2019</v>
      </c>
    </row>
    <row r="210" customFormat="false" ht="15" hidden="false" customHeight="false" outlineLevel="0" collapsed="false">
      <c r="A210" s="4" t="s">
        <v>1954</v>
      </c>
      <c r="B210" s="4" t="s">
        <v>3961</v>
      </c>
      <c r="C210" s="4" t="s">
        <v>3952</v>
      </c>
      <c r="D210" s="4" t="s">
        <v>3956</v>
      </c>
      <c r="E210" s="7" t="n">
        <v>2019</v>
      </c>
    </row>
    <row r="211" customFormat="false" ht="15" hidden="false" customHeight="false" outlineLevel="0" collapsed="false">
      <c r="A211" s="4" t="s">
        <v>1962</v>
      </c>
      <c r="B211" s="4" t="s">
        <v>3954</v>
      </c>
      <c r="C211" s="4" t="s">
        <v>3958</v>
      </c>
      <c r="D211" s="4" t="s">
        <v>3970</v>
      </c>
      <c r="E211" s="7" t="n">
        <v>2021</v>
      </c>
    </row>
    <row r="212" customFormat="false" ht="15" hidden="false" customHeight="false" outlineLevel="0" collapsed="false">
      <c r="A212" s="4" t="s">
        <v>1969</v>
      </c>
      <c r="B212" s="4" t="s">
        <v>3957</v>
      </c>
      <c r="C212" s="4" t="s">
        <v>3960</v>
      </c>
      <c r="D212" s="4" t="s">
        <v>3968</v>
      </c>
      <c r="E212" s="7" t="n">
        <v>2018</v>
      </c>
    </row>
    <row r="213" customFormat="false" ht="15" hidden="false" customHeight="false" outlineLevel="0" collapsed="false">
      <c r="A213" s="4" t="s">
        <v>1977</v>
      </c>
      <c r="B213" s="4" t="s">
        <v>3976</v>
      </c>
      <c r="C213" s="4" t="s">
        <v>3958</v>
      </c>
      <c r="D213" s="4" t="s">
        <v>3953</v>
      </c>
      <c r="E213" s="7" t="n">
        <v>2024</v>
      </c>
    </row>
    <row r="214" customFormat="false" ht="15" hidden="false" customHeight="false" outlineLevel="0" collapsed="false">
      <c r="A214" s="4" t="s">
        <v>2001</v>
      </c>
      <c r="B214" s="4" t="s">
        <v>3976</v>
      </c>
      <c r="C214" s="4" t="s">
        <v>3975</v>
      </c>
      <c r="D214" s="4" t="s">
        <v>3967</v>
      </c>
      <c r="E214" s="7" t="n">
        <v>2019</v>
      </c>
    </row>
    <row r="215" customFormat="false" ht="15" hidden="false" customHeight="false" outlineLevel="0" collapsed="false">
      <c r="A215" s="4" t="s">
        <v>2008</v>
      </c>
      <c r="B215" s="4" t="s">
        <v>3957</v>
      </c>
      <c r="C215" s="4" t="s">
        <v>3952</v>
      </c>
      <c r="D215" s="4" t="s">
        <v>3962</v>
      </c>
      <c r="E215" s="7" t="n">
        <v>2022</v>
      </c>
    </row>
    <row r="216" customFormat="false" ht="15" hidden="false" customHeight="false" outlineLevel="0" collapsed="false">
      <c r="A216" s="4" t="s">
        <v>2032</v>
      </c>
      <c r="B216" s="4" t="s">
        <v>3973</v>
      </c>
      <c r="C216" s="4" t="s">
        <v>3955</v>
      </c>
      <c r="D216" s="4" t="s">
        <v>3964</v>
      </c>
      <c r="E216" s="7" t="n">
        <v>2023</v>
      </c>
    </row>
    <row r="217" customFormat="false" ht="15" hidden="false" customHeight="false" outlineLevel="0" collapsed="false">
      <c r="A217" s="4" t="s">
        <v>2039</v>
      </c>
      <c r="B217" s="4" t="s">
        <v>3973</v>
      </c>
      <c r="C217" s="4" t="s">
        <v>3958</v>
      </c>
      <c r="D217" s="4" t="s">
        <v>3967</v>
      </c>
      <c r="E217" s="7" t="n">
        <v>2023</v>
      </c>
    </row>
    <row r="218" customFormat="false" ht="15" hidden="false" customHeight="false" outlineLevel="0" collapsed="false">
      <c r="A218" s="4" t="s">
        <v>2047</v>
      </c>
      <c r="B218" s="4" t="s">
        <v>3963</v>
      </c>
      <c r="C218" s="4" t="s">
        <v>3952</v>
      </c>
      <c r="D218" s="4" t="s">
        <v>3956</v>
      </c>
      <c r="E218" s="7" t="n">
        <v>2022</v>
      </c>
    </row>
    <row r="219" customFormat="false" ht="15" hidden="false" customHeight="false" outlineLevel="0" collapsed="false">
      <c r="A219" s="4" t="s">
        <v>2055</v>
      </c>
      <c r="B219" s="4" t="s">
        <v>3972</v>
      </c>
      <c r="C219" s="4" t="s">
        <v>3952</v>
      </c>
      <c r="D219" s="4" t="s">
        <v>3968</v>
      </c>
      <c r="E219" s="7" t="n">
        <v>2018</v>
      </c>
    </row>
    <row r="220" customFormat="false" ht="15" hidden="false" customHeight="false" outlineLevel="0" collapsed="false">
      <c r="A220" s="4" t="s">
        <v>2063</v>
      </c>
      <c r="B220" s="4" t="s">
        <v>3973</v>
      </c>
      <c r="C220" s="4" t="s">
        <v>3960</v>
      </c>
      <c r="D220" s="4" t="s">
        <v>3967</v>
      </c>
      <c r="E220" s="7" t="n">
        <v>2022</v>
      </c>
    </row>
    <row r="221" customFormat="false" ht="15" hidden="false" customHeight="false" outlineLevel="0" collapsed="false">
      <c r="A221" s="4" t="s">
        <v>2071</v>
      </c>
      <c r="B221" s="4" t="s">
        <v>3966</v>
      </c>
      <c r="C221" s="4" t="s">
        <v>3958</v>
      </c>
      <c r="D221" s="4" t="s">
        <v>3967</v>
      </c>
      <c r="E221" s="7" t="n">
        <v>2023</v>
      </c>
    </row>
    <row r="222" customFormat="false" ht="15" hidden="false" customHeight="false" outlineLevel="0" collapsed="false">
      <c r="A222" s="4" t="s">
        <v>2077</v>
      </c>
      <c r="B222" s="4" t="s">
        <v>3965</v>
      </c>
      <c r="C222" s="4" t="s">
        <v>3958</v>
      </c>
      <c r="D222" s="4" t="s">
        <v>3953</v>
      </c>
      <c r="E222" s="7" t="n">
        <v>2023</v>
      </c>
    </row>
    <row r="223" customFormat="false" ht="15" hidden="false" customHeight="false" outlineLevel="0" collapsed="false">
      <c r="A223" s="4" t="s">
        <v>2085</v>
      </c>
      <c r="B223" s="4" t="s">
        <v>3951</v>
      </c>
      <c r="C223" s="4" t="s">
        <v>3958</v>
      </c>
      <c r="D223" s="4" t="s">
        <v>3964</v>
      </c>
      <c r="E223" s="7" t="n">
        <v>2019</v>
      </c>
    </row>
    <row r="224" customFormat="false" ht="15" hidden="false" customHeight="false" outlineLevel="0" collapsed="false">
      <c r="A224" s="4" t="s">
        <v>2093</v>
      </c>
      <c r="B224" s="4" t="s">
        <v>3963</v>
      </c>
      <c r="C224" s="4" t="s">
        <v>3952</v>
      </c>
      <c r="D224" s="4" t="s">
        <v>3967</v>
      </c>
      <c r="E224" s="7" t="n">
        <v>2019</v>
      </c>
    </row>
    <row r="225" customFormat="false" ht="15" hidden="false" customHeight="false" outlineLevel="0" collapsed="false">
      <c r="A225" s="4" t="s">
        <v>2093</v>
      </c>
      <c r="B225" s="4" t="s">
        <v>3972</v>
      </c>
      <c r="C225" s="4" t="s">
        <v>3952</v>
      </c>
      <c r="D225" s="4" t="s">
        <v>3964</v>
      </c>
      <c r="E225" s="7" t="n">
        <v>2019</v>
      </c>
    </row>
    <row r="226" customFormat="false" ht="15" hidden="false" customHeight="false" outlineLevel="0" collapsed="false">
      <c r="A226" s="4" t="s">
        <v>2100</v>
      </c>
      <c r="B226" s="4" t="s">
        <v>3976</v>
      </c>
      <c r="C226" s="4" t="s">
        <v>3960</v>
      </c>
      <c r="D226" s="4" t="s">
        <v>3953</v>
      </c>
      <c r="E226" s="7" t="n">
        <v>2019</v>
      </c>
    </row>
    <row r="227" customFormat="false" ht="15" hidden="false" customHeight="false" outlineLevel="0" collapsed="false">
      <c r="A227" s="4" t="s">
        <v>2115</v>
      </c>
      <c r="B227" s="4" t="s">
        <v>3973</v>
      </c>
      <c r="C227" s="4" t="s">
        <v>3960</v>
      </c>
      <c r="D227" s="4" t="s">
        <v>3962</v>
      </c>
      <c r="E227" s="7" t="n">
        <v>2019</v>
      </c>
    </row>
    <row r="228" customFormat="false" ht="15" hidden="false" customHeight="false" outlineLevel="0" collapsed="false">
      <c r="A228" s="4" t="s">
        <v>2123</v>
      </c>
      <c r="B228" s="4" t="s">
        <v>3976</v>
      </c>
      <c r="C228" s="4" t="s">
        <v>3952</v>
      </c>
      <c r="D228" s="4" t="s">
        <v>3956</v>
      </c>
      <c r="E228" s="7" t="n">
        <v>2017</v>
      </c>
    </row>
    <row r="229" customFormat="false" ht="15" hidden="false" customHeight="false" outlineLevel="0" collapsed="false">
      <c r="A229" s="4" t="s">
        <v>2131</v>
      </c>
      <c r="B229" s="4" t="s">
        <v>3971</v>
      </c>
      <c r="C229" s="4" t="s">
        <v>3958</v>
      </c>
      <c r="D229" s="4" t="s">
        <v>3964</v>
      </c>
      <c r="E229" s="7" t="n">
        <v>2023</v>
      </c>
    </row>
    <row r="230" customFormat="false" ht="15" hidden="false" customHeight="false" outlineLevel="0" collapsed="false">
      <c r="A230" s="4" t="s">
        <v>2131</v>
      </c>
      <c r="B230" s="4" t="s">
        <v>3974</v>
      </c>
      <c r="C230" s="4" t="s">
        <v>3958</v>
      </c>
      <c r="D230" s="4" t="s">
        <v>3962</v>
      </c>
      <c r="E230" s="7" t="n">
        <v>2023</v>
      </c>
    </row>
    <row r="231" customFormat="false" ht="15" hidden="false" customHeight="false" outlineLevel="0" collapsed="false">
      <c r="A231" s="4" t="s">
        <v>2139</v>
      </c>
      <c r="B231" s="4" t="s">
        <v>3957</v>
      </c>
      <c r="C231" s="4" t="s">
        <v>3975</v>
      </c>
      <c r="D231" s="4" t="s">
        <v>3956</v>
      </c>
      <c r="E231" s="7" t="n">
        <v>2018</v>
      </c>
    </row>
    <row r="232" customFormat="false" ht="15" hidden="false" customHeight="false" outlineLevel="0" collapsed="false">
      <c r="A232" s="4" t="s">
        <v>2146</v>
      </c>
      <c r="B232" s="4" t="s">
        <v>3971</v>
      </c>
      <c r="C232" s="4" t="s">
        <v>3952</v>
      </c>
      <c r="D232" s="4" t="s">
        <v>3967</v>
      </c>
      <c r="E232" s="7" t="n">
        <v>2018</v>
      </c>
    </row>
    <row r="233" customFormat="false" ht="15" hidden="false" customHeight="false" outlineLevel="0" collapsed="false">
      <c r="A233" s="4" t="s">
        <v>2154</v>
      </c>
      <c r="B233" s="4" t="s">
        <v>3971</v>
      </c>
      <c r="C233" s="4" t="s">
        <v>3958</v>
      </c>
      <c r="D233" s="4" t="s">
        <v>3964</v>
      </c>
      <c r="E233" s="7" t="n">
        <v>2020</v>
      </c>
    </row>
    <row r="234" customFormat="false" ht="15" hidden="false" customHeight="false" outlineLevel="0" collapsed="false">
      <c r="A234" s="4" t="s">
        <v>2169</v>
      </c>
      <c r="B234" s="4" t="s">
        <v>3961</v>
      </c>
      <c r="C234" s="4" t="s">
        <v>3958</v>
      </c>
      <c r="D234" s="4" t="s">
        <v>3962</v>
      </c>
      <c r="E234" s="7" t="n">
        <v>2018</v>
      </c>
    </row>
    <row r="235" customFormat="false" ht="15" hidden="false" customHeight="false" outlineLevel="0" collapsed="false">
      <c r="A235" s="4" t="s">
        <v>2177</v>
      </c>
      <c r="B235" s="4" t="s">
        <v>3976</v>
      </c>
      <c r="C235" s="4" t="s">
        <v>3975</v>
      </c>
      <c r="D235" s="4" t="s">
        <v>3956</v>
      </c>
      <c r="E235" s="7" t="n">
        <v>2018</v>
      </c>
    </row>
    <row r="236" customFormat="false" ht="15" hidden="false" customHeight="false" outlineLevel="0" collapsed="false">
      <c r="A236" s="4" t="s">
        <v>2177</v>
      </c>
      <c r="B236" s="4" t="s">
        <v>3972</v>
      </c>
      <c r="C236" s="4" t="s">
        <v>3958</v>
      </c>
      <c r="D236" s="4" t="s">
        <v>3967</v>
      </c>
      <c r="E236" s="7" t="n">
        <v>2020</v>
      </c>
    </row>
    <row r="237" customFormat="false" ht="15" hidden="false" customHeight="false" outlineLevel="0" collapsed="false">
      <c r="A237" s="4" t="s">
        <v>2184</v>
      </c>
      <c r="B237" s="4" t="s">
        <v>3963</v>
      </c>
      <c r="C237" s="4" t="s">
        <v>3960</v>
      </c>
      <c r="D237" s="4" t="s">
        <v>3964</v>
      </c>
      <c r="E237" s="7" t="n">
        <v>2025</v>
      </c>
    </row>
    <row r="238" customFormat="false" ht="15" hidden="false" customHeight="false" outlineLevel="0" collapsed="false">
      <c r="A238" s="4" t="s">
        <v>2192</v>
      </c>
      <c r="B238" s="4" t="s">
        <v>3972</v>
      </c>
      <c r="C238" s="4" t="s">
        <v>3952</v>
      </c>
      <c r="D238" s="4" t="s">
        <v>3970</v>
      </c>
      <c r="E238" s="7" t="n">
        <v>2023</v>
      </c>
    </row>
    <row r="239" customFormat="false" ht="15" hidden="false" customHeight="false" outlineLevel="0" collapsed="false">
      <c r="A239" s="4" t="s">
        <v>2192</v>
      </c>
      <c r="B239" s="4" t="s">
        <v>3954</v>
      </c>
      <c r="C239" s="4" t="s">
        <v>3958</v>
      </c>
      <c r="D239" s="4" t="s">
        <v>3956</v>
      </c>
      <c r="E239" s="7" t="n">
        <v>2023</v>
      </c>
    </row>
    <row r="240" customFormat="false" ht="15" hidden="false" customHeight="false" outlineLevel="0" collapsed="false">
      <c r="A240" s="4" t="s">
        <v>2200</v>
      </c>
      <c r="B240" s="4" t="s">
        <v>3951</v>
      </c>
      <c r="C240" s="4" t="s">
        <v>3960</v>
      </c>
      <c r="D240" s="4" t="s">
        <v>3953</v>
      </c>
      <c r="E240" s="7" t="n">
        <v>2021</v>
      </c>
    </row>
    <row r="241" customFormat="false" ht="15" hidden="false" customHeight="false" outlineLevel="0" collapsed="false">
      <c r="A241" s="4" t="s">
        <v>2200</v>
      </c>
      <c r="B241" s="4" t="s">
        <v>3974</v>
      </c>
      <c r="C241" s="4" t="s">
        <v>3958</v>
      </c>
      <c r="D241" s="4" t="s">
        <v>3956</v>
      </c>
      <c r="E241" s="7" t="n">
        <v>2021</v>
      </c>
    </row>
    <row r="242" customFormat="false" ht="15" hidden="false" customHeight="false" outlineLevel="0" collapsed="false">
      <c r="A242" s="4" t="s">
        <v>2208</v>
      </c>
      <c r="B242" s="4" t="s">
        <v>3972</v>
      </c>
      <c r="C242" s="4" t="s">
        <v>3960</v>
      </c>
      <c r="D242" s="4" t="s">
        <v>3962</v>
      </c>
      <c r="E242" s="7" t="n">
        <v>2020</v>
      </c>
    </row>
    <row r="243" customFormat="false" ht="15" hidden="false" customHeight="false" outlineLevel="0" collapsed="false">
      <c r="A243" s="4" t="s">
        <v>2208</v>
      </c>
      <c r="B243" s="4" t="s">
        <v>3959</v>
      </c>
      <c r="C243" s="4" t="s">
        <v>3952</v>
      </c>
      <c r="D243" s="4" t="s">
        <v>3953</v>
      </c>
      <c r="E243" s="7" t="n">
        <v>2018</v>
      </c>
    </row>
    <row r="244" customFormat="false" ht="15" hidden="false" customHeight="false" outlineLevel="0" collapsed="false">
      <c r="A244" s="4" t="s">
        <v>2216</v>
      </c>
      <c r="B244" s="4" t="s">
        <v>3971</v>
      </c>
      <c r="C244" s="4" t="s">
        <v>3958</v>
      </c>
      <c r="D244" s="4" t="s">
        <v>3956</v>
      </c>
      <c r="E244" s="7" t="n">
        <v>2022</v>
      </c>
    </row>
    <row r="245" customFormat="false" ht="15" hidden="false" customHeight="false" outlineLevel="0" collapsed="false">
      <c r="A245" s="4" t="s">
        <v>2223</v>
      </c>
      <c r="B245" s="4" t="s">
        <v>3972</v>
      </c>
      <c r="C245" s="4" t="s">
        <v>3955</v>
      </c>
      <c r="D245" s="4" t="s">
        <v>3968</v>
      </c>
      <c r="E245" s="7" t="n">
        <v>2021</v>
      </c>
    </row>
    <row r="246" customFormat="false" ht="15" hidden="false" customHeight="false" outlineLevel="0" collapsed="false">
      <c r="A246" s="4" t="s">
        <v>2238</v>
      </c>
      <c r="B246" s="4" t="s">
        <v>3957</v>
      </c>
      <c r="C246" s="4" t="s">
        <v>3955</v>
      </c>
      <c r="D246" s="4" t="s">
        <v>3962</v>
      </c>
      <c r="E246" s="7" t="n">
        <v>2018</v>
      </c>
    </row>
    <row r="247" customFormat="false" ht="15" hidden="false" customHeight="false" outlineLevel="0" collapsed="false">
      <c r="A247" s="4" t="s">
        <v>2246</v>
      </c>
      <c r="B247" s="4" t="s">
        <v>3954</v>
      </c>
      <c r="C247" s="4" t="s">
        <v>3958</v>
      </c>
      <c r="D247" s="4" t="s">
        <v>3953</v>
      </c>
      <c r="E247" s="7" t="n">
        <v>2022</v>
      </c>
    </row>
    <row r="248" customFormat="false" ht="15" hidden="false" customHeight="false" outlineLevel="0" collapsed="false">
      <c r="A248" s="4" t="s">
        <v>2253</v>
      </c>
      <c r="B248" s="4" t="s">
        <v>3957</v>
      </c>
      <c r="C248" s="4" t="s">
        <v>3955</v>
      </c>
      <c r="D248" s="4" t="s">
        <v>3956</v>
      </c>
      <c r="E248" s="7" t="n">
        <v>2024</v>
      </c>
    </row>
    <row r="249" customFormat="false" ht="15" hidden="false" customHeight="false" outlineLevel="0" collapsed="false">
      <c r="A249" s="4" t="s">
        <v>2253</v>
      </c>
      <c r="B249" s="4" t="s">
        <v>3976</v>
      </c>
      <c r="C249" s="4" t="s">
        <v>3960</v>
      </c>
      <c r="D249" s="4" t="s">
        <v>3964</v>
      </c>
      <c r="E249" s="7" t="n">
        <v>2020</v>
      </c>
    </row>
    <row r="250" customFormat="false" ht="15" hidden="false" customHeight="false" outlineLevel="0" collapsed="false">
      <c r="A250" s="4" t="s">
        <v>2268</v>
      </c>
      <c r="B250" s="4" t="s">
        <v>3971</v>
      </c>
      <c r="C250" s="4" t="s">
        <v>3960</v>
      </c>
      <c r="D250" s="4" t="s">
        <v>3956</v>
      </c>
      <c r="E250" s="7" t="n">
        <v>2018</v>
      </c>
    </row>
    <row r="251" customFormat="false" ht="15" hidden="false" customHeight="false" outlineLevel="0" collapsed="false">
      <c r="A251" s="4" t="s">
        <v>2268</v>
      </c>
      <c r="B251" s="4" t="s">
        <v>3959</v>
      </c>
      <c r="C251" s="4" t="s">
        <v>3955</v>
      </c>
      <c r="D251" s="4" t="s">
        <v>3970</v>
      </c>
      <c r="E251" s="7" t="n">
        <v>2019</v>
      </c>
    </row>
    <row r="252" customFormat="false" ht="15" hidden="false" customHeight="false" outlineLevel="0" collapsed="false">
      <c r="A252" s="4" t="s">
        <v>2276</v>
      </c>
      <c r="B252" s="4" t="s">
        <v>3972</v>
      </c>
      <c r="C252" s="4" t="s">
        <v>3955</v>
      </c>
      <c r="D252" s="4" t="s">
        <v>3967</v>
      </c>
      <c r="E252" s="7" t="n">
        <v>2016</v>
      </c>
    </row>
    <row r="253" customFormat="false" ht="15" hidden="false" customHeight="false" outlineLevel="0" collapsed="false">
      <c r="A253" s="4" t="s">
        <v>2284</v>
      </c>
      <c r="B253" s="4" t="s">
        <v>3954</v>
      </c>
      <c r="C253" s="4" t="s">
        <v>3952</v>
      </c>
      <c r="D253" s="4" t="s">
        <v>3970</v>
      </c>
      <c r="E253" s="7" t="n">
        <v>2021</v>
      </c>
    </row>
    <row r="254" customFormat="false" ht="15" hidden="false" customHeight="false" outlineLevel="0" collapsed="false">
      <c r="A254" s="4" t="s">
        <v>2308</v>
      </c>
      <c r="B254" s="4" t="s">
        <v>3971</v>
      </c>
      <c r="C254" s="4" t="s">
        <v>3958</v>
      </c>
      <c r="D254" s="4" t="s">
        <v>3970</v>
      </c>
      <c r="E254" s="7" t="n">
        <v>2020</v>
      </c>
    </row>
    <row r="255" customFormat="false" ht="15" hidden="false" customHeight="false" outlineLevel="0" collapsed="false">
      <c r="A255" s="4" t="s">
        <v>2316</v>
      </c>
      <c r="B255" s="4" t="s">
        <v>3973</v>
      </c>
      <c r="C255" s="4" t="s">
        <v>3955</v>
      </c>
      <c r="D255" s="4" t="s">
        <v>3964</v>
      </c>
      <c r="E255" s="7" t="n">
        <v>2019</v>
      </c>
    </row>
    <row r="256" customFormat="false" ht="15" hidden="false" customHeight="false" outlineLevel="0" collapsed="false">
      <c r="A256" s="4" t="s">
        <v>2316</v>
      </c>
      <c r="B256" s="4" t="s">
        <v>3957</v>
      </c>
      <c r="C256" s="4" t="s">
        <v>3952</v>
      </c>
      <c r="D256" s="4" t="s">
        <v>3970</v>
      </c>
      <c r="E256" s="7" t="n">
        <v>2022</v>
      </c>
    </row>
    <row r="257" customFormat="false" ht="15" hidden="false" customHeight="false" outlineLevel="0" collapsed="false">
      <c r="A257" s="4" t="s">
        <v>2346</v>
      </c>
      <c r="B257" s="4" t="s">
        <v>3965</v>
      </c>
      <c r="C257" s="4" t="s">
        <v>3960</v>
      </c>
      <c r="D257" s="4" t="s">
        <v>3956</v>
      </c>
      <c r="E257" s="7" t="n">
        <v>2020</v>
      </c>
    </row>
    <row r="258" customFormat="false" ht="15" hidden="false" customHeight="false" outlineLevel="0" collapsed="false">
      <c r="A258" s="4" t="s">
        <v>2362</v>
      </c>
      <c r="B258" s="4" t="s">
        <v>3966</v>
      </c>
      <c r="C258" s="4" t="s">
        <v>3958</v>
      </c>
      <c r="D258" s="4" t="s">
        <v>3968</v>
      </c>
      <c r="E258" s="7" t="n">
        <v>2017</v>
      </c>
    </row>
    <row r="259" customFormat="false" ht="15" hidden="false" customHeight="false" outlineLevel="0" collapsed="false">
      <c r="A259" s="4" t="s">
        <v>2378</v>
      </c>
      <c r="B259" s="4" t="s">
        <v>3973</v>
      </c>
      <c r="C259" s="4" t="s">
        <v>3952</v>
      </c>
      <c r="D259" s="4" t="s">
        <v>3953</v>
      </c>
      <c r="E259" s="7" t="n">
        <v>2020</v>
      </c>
    </row>
    <row r="260" customFormat="false" ht="15" hidden="false" customHeight="false" outlineLevel="0" collapsed="false">
      <c r="A260" s="4" t="s">
        <v>2385</v>
      </c>
      <c r="B260" s="4" t="s">
        <v>3959</v>
      </c>
      <c r="C260" s="4" t="s">
        <v>3958</v>
      </c>
      <c r="D260" s="4" t="s">
        <v>3964</v>
      </c>
      <c r="E260" s="7" t="n">
        <v>2018</v>
      </c>
    </row>
    <row r="261" customFormat="false" ht="15" hidden="false" customHeight="false" outlineLevel="0" collapsed="false">
      <c r="A261" s="4" t="s">
        <v>2393</v>
      </c>
      <c r="B261" s="4" t="s">
        <v>3957</v>
      </c>
      <c r="C261" s="4" t="s">
        <v>3952</v>
      </c>
      <c r="D261" s="4" t="s">
        <v>3956</v>
      </c>
      <c r="E261" s="7" t="n">
        <v>2024</v>
      </c>
    </row>
    <row r="262" customFormat="false" ht="15" hidden="false" customHeight="false" outlineLevel="0" collapsed="false">
      <c r="A262" s="4" t="s">
        <v>2393</v>
      </c>
      <c r="B262" s="4" t="s">
        <v>3971</v>
      </c>
      <c r="C262" s="4" t="s">
        <v>3958</v>
      </c>
      <c r="D262" s="4" t="s">
        <v>3967</v>
      </c>
      <c r="E262" s="7" t="n">
        <v>2023</v>
      </c>
    </row>
    <row r="263" customFormat="false" ht="15" hidden="false" customHeight="false" outlineLevel="0" collapsed="false">
      <c r="A263" s="4" t="s">
        <v>2401</v>
      </c>
      <c r="B263" s="4" t="s">
        <v>3961</v>
      </c>
      <c r="C263" s="4" t="s">
        <v>3958</v>
      </c>
      <c r="D263" s="4" t="s">
        <v>3967</v>
      </c>
      <c r="E263" s="7" t="n">
        <v>2021</v>
      </c>
    </row>
    <row r="264" customFormat="false" ht="15" hidden="false" customHeight="false" outlineLevel="0" collapsed="false">
      <c r="A264" s="4" t="s">
        <v>2409</v>
      </c>
      <c r="B264" s="4" t="s">
        <v>3976</v>
      </c>
      <c r="C264" s="4" t="s">
        <v>3958</v>
      </c>
      <c r="D264" s="4" t="s">
        <v>3964</v>
      </c>
      <c r="E264" s="7" t="n">
        <v>2022</v>
      </c>
    </row>
    <row r="265" customFormat="false" ht="15" hidden="false" customHeight="false" outlineLevel="0" collapsed="false">
      <c r="A265" s="4" t="s">
        <v>2409</v>
      </c>
      <c r="B265" s="4" t="s">
        <v>3969</v>
      </c>
      <c r="C265" s="4" t="s">
        <v>3960</v>
      </c>
      <c r="D265" s="4" t="s">
        <v>3970</v>
      </c>
      <c r="E265" s="7" t="n">
        <v>2020</v>
      </c>
    </row>
    <row r="266" customFormat="false" ht="15" hidden="false" customHeight="false" outlineLevel="0" collapsed="false">
      <c r="A266" s="4" t="s">
        <v>2431</v>
      </c>
      <c r="B266" s="4" t="s">
        <v>3966</v>
      </c>
      <c r="C266" s="4" t="s">
        <v>3960</v>
      </c>
      <c r="D266" s="4" t="s">
        <v>3956</v>
      </c>
      <c r="E266" s="7" t="n">
        <v>2017</v>
      </c>
    </row>
    <row r="267" customFormat="false" ht="15" hidden="false" customHeight="false" outlineLevel="0" collapsed="false">
      <c r="A267" s="4" t="s">
        <v>2445</v>
      </c>
      <c r="B267" s="4" t="s">
        <v>3971</v>
      </c>
      <c r="C267" s="4" t="s">
        <v>3958</v>
      </c>
      <c r="D267" s="4" t="s">
        <v>3964</v>
      </c>
      <c r="E267" s="7" t="n">
        <v>2017</v>
      </c>
    </row>
    <row r="268" customFormat="false" ht="15" hidden="false" customHeight="false" outlineLevel="0" collapsed="false">
      <c r="A268" s="4" t="s">
        <v>2445</v>
      </c>
      <c r="B268" s="4" t="s">
        <v>3951</v>
      </c>
      <c r="C268" s="4" t="s">
        <v>3958</v>
      </c>
      <c r="D268" s="4" t="s">
        <v>3956</v>
      </c>
      <c r="E268" s="7" t="n">
        <v>2019</v>
      </c>
    </row>
    <row r="269" customFormat="false" ht="15" hidden="false" customHeight="false" outlineLevel="0" collapsed="false">
      <c r="A269" s="4" t="s">
        <v>2453</v>
      </c>
      <c r="B269" s="4" t="s">
        <v>3965</v>
      </c>
      <c r="C269" s="4" t="s">
        <v>3958</v>
      </c>
      <c r="D269" s="4" t="s">
        <v>3964</v>
      </c>
      <c r="E269" s="7" t="n">
        <v>2023</v>
      </c>
    </row>
    <row r="270" customFormat="false" ht="15" hidden="false" customHeight="false" outlineLevel="0" collapsed="false">
      <c r="A270" s="4" t="s">
        <v>2476</v>
      </c>
      <c r="B270" s="4" t="s">
        <v>3965</v>
      </c>
      <c r="C270" s="4" t="s">
        <v>3958</v>
      </c>
      <c r="D270" s="4" t="s">
        <v>3967</v>
      </c>
      <c r="E270" s="7" t="n">
        <v>2020</v>
      </c>
    </row>
    <row r="271" customFormat="false" ht="15" hidden="false" customHeight="false" outlineLevel="0" collapsed="false">
      <c r="A271" s="4" t="s">
        <v>2483</v>
      </c>
      <c r="B271" s="4" t="s">
        <v>3969</v>
      </c>
      <c r="C271" s="4" t="s">
        <v>3977</v>
      </c>
      <c r="D271" s="4" t="s">
        <v>3962</v>
      </c>
      <c r="E271" s="7" t="n">
        <v>2019</v>
      </c>
    </row>
    <row r="272" customFormat="false" ht="15" hidden="false" customHeight="false" outlineLevel="0" collapsed="false">
      <c r="A272" s="4" t="s">
        <v>2483</v>
      </c>
      <c r="B272" s="4" t="s">
        <v>3961</v>
      </c>
      <c r="C272" s="4" t="s">
        <v>3958</v>
      </c>
      <c r="D272" s="4" t="s">
        <v>3964</v>
      </c>
      <c r="E272" s="7" t="n">
        <v>2019</v>
      </c>
    </row>
    <row r="273" customFormat="false" ht="15" hidden="false" customHeight="false" outlineLevel="0" collapsed="false">
      <c r="A273" s="4" t="s">
        <v>2506</v>
      </c>
      <c r="B273" s="4" t="s">
        <v>3972</v>
      </c>
      <c r="C273" s="4" t="s">
        <v>3958</v>
      </c>
      <c r="D273" s="4" t="s">
        <v>3967</v>
      </c>
      <c r="E273" s="7" t="n">
        <v>2020</v>
      </c>
    </row>
    <row r="274" customFormat="false" ht="15" hidden="false" customHeight="false" outlineLevel="0" collapsed="false">
      <c r="A274" s="4" t="s">
        <v>2513</v>
      </c>
      <c r="B274" s="4" t="s">
        <v>3971</v>
      </c>
      <c r="C274" s="4" t="s">
        <v>3960</v>
      </c>
      <c r="D274" s="4" t="s">
        <v>3964</v>
      </c>
      <c r="E274" s="7" t="n">
        <v>2019</v>
      </c>
    </row>
    <row r="275" customFormat="false" ht="15" hidden="false" customHeight="false" outlineLevel="0" collapsed="false">
      <c r="A275" s="4" t="s">
        <v>2513</v>
      </c>
      <c r="B275" s="4" t="s">
        <v>3961</v>
      </c>
      <c r="C275" s="4" t="s">
        <v>3960</v>
      </c>
      <c r="D275" s="4" t="s">
        <v>3970</v>
      </c>
      <c r="E275" s="7" t="n">
        <v>2018</v>
      </c>
    </row>
    <row r="276" customFormat="false" ht="15" hidden="false" customHeight="false" outlineLevel="0" collapsed="false">
      <c r="A276" s="4" t="s">
        <v>2537</v>
      </c>
      <c r="B276" s="4" t="s">
        <v>3976</v>
      </c>
      <c r="C276" s="4" t="s">
        <v>3975</v>
      </c>
      <c r="D276" s="4" t="s">
        <v>3956</v>
      </c>
      <c r="E276" s="7" t="n">
        <v>2023</v>
      </c>
    </row>
    <row r="277" customFormat="false" ht="15" hidden="false" customHeight="false" outlineLevel="0" collapsed="false">
      <c r="A277" s="4" t="s">
        <v>2545</v>
      </c>
      <c r="B277" s="4" t="s">
        <v>3976</v>
      </c>
      <c r="C277" s="4" t="s">
        <v>3960</v>
      </c>
      <c r="D277" s="4" t="s">
        <v>3953</v>
      </c>
      <c r="E277" s="7" t="n">
        <v>2020</v>
      </c>
    </row>
    <row r="278" customFormat="false" ht="15" hidden="false" customHeight="false" outlineLevel="0" collapsed="false">
      <c r="A278" s="4" t="s">
        <v>2545</v>
      </c>
      <c r="B278" s="4" t="s">
        <v>3963</v>
      </c>
      <c r="C278" s="4" t="s">
        <v>3955</v>
      </c>
      <c r="D278" s="4" t="s">
        <v>3964</v>
      </c>
      <c r="E278" s="7" t="n">
        <v>2017</v>
      </c>
    </row>
    <row r="279" customFormat="false" ht="15" hidden="false" customHeight="false" outlineLevel="0" collapsed="false">
      <c r="A279" s="4" t="s">
        <v>2568</v>
      </c>
      <c r="B279" s="4" t="s">
        <v>3969</v>
      </c>
      <c r="C279" s="4" t="s">
        <v>3958</v>
      </c>
      <c r="D279" s="4" t="s">
        <v>3962</v>
      </c>
      <c r="E279" s="7" t="n">
        <v>2021</v>
      </c>
    </row>
    <row r="280" customFormat="false" ht="15" hidden="false" customHeight="false" outlineLevel="0" collapsed="false">
      <c r="A280" s="4" t="s">
        <v>2576</v>
      </c>
      <c r="B280" s="4" t="s">
        <v>3973</v>
      </c>
      <c r="C280" s="4" t="s">
        <v>3960</v>
      </c>
      <c r="D280" s="4" t="s">
        <v>3967</v>
      </c>
      <c r="E280" s="7" t="n">
        <v>2023</v>
      </c>
    </row>
    <row r="281" customFormat="false" ht="15" hidden="false" customHeight="false" outlineLevel="0" collapsed="false">
      <c r="A281" s="4" t="s">
        <v>2576</v>
      </c>
      <c r="B281" s="4" t="s">
        <v>3951</v>
      </c>
      <c r="C281" s="4" t="s">
        <v>3960</v>
      </c>
      <c r="D281" s="4" t="s">
        <v>3962</v>
      </c>
      <c r="E281" s="7" t="n">
        <v>2022</v>
      </c>
    </row>
    <row r="282" customFormat="false" ht="15" hidden="false" customHeight="false" outlineLevel="0" collapsed="false">
      <c r="A282" s="4" t="s">
        <v>2596</v>
      </c>
      <c r="B282" s="4" t="s">
        <v>3957</v>
      </c>
      <c r="C282" s="4" t="s">
        <v>3952</v>
      </c>
      <c r="D282" s="4" t="s">
        <v>3953</v>
      </c>
      <c r="E282" s="7" t="n">
        <v>2020</v>
      </c>
    </row>
    <row r="283" customFormat="false" ht="15" hidden="false" customHeight="false" outlineLevel="0" collapsed="false">
      <c r="A283" s="4" t="s">
        <v>2620</v>
      </c>
      <c r="B283" s="4" t="s">
        <v>3973</v>
      </c>
      <c r="C283" s="4" t="s">
        <v>3960</v>
      </c>
      <c r="D283" s="4" t="s">
        <v>3968</v>
      </c>
      <c r="E283" s="7" t="n">
        <v>2020</v>
      </c>
    </row>
    <row r="284" customFormat="false" ht="15" hidden="false" customHeight="false" outlineLevel="0" collapsed="false">
      <c r="A284" s="4" t="s">
        <v>2651</v>
      </c>
      <c r="B284" s="4" t="s">
        <v>3963</v>
      </c>
      <c r="C284" s="4" t="s">
        <v>3952</v>
      </c>
      <c r="D284" s="4" t="s">
        <v>3968</v>
      </c>
      <c r="E284" s="7" t="n">
        <v>2021</v>
      </c>
    </row>
    <row r="285" customFormat="false" ht="15" hidden="false" customHeight="false" outlineLevel="0" collapsed="false">
      <c r="A285" s="4" t="s">
        <v>2659</v>
      </c>
      <c r="B285" s="4" t="s">
        <v>3976</v>
      </c>
      <c r="C285" s="4" t="s">
        <v>3955</v>
      </c>
      <c r="D285" s="4" t="s">
        <v>3964</v>
      </c>
      <c r="E285" s="7" t="n">
        <v>2021</v>
      </c>
    </row>
    <row r="286" customFormat="false" ht="15" hidden="false" customHeight="false" outlineLevel="0" collapsed="false">
      <c r="A286" s="4" t="s">
        <v>2659</v>
      </c>
      <c r="B286" s="4" t="s">
        <v>3959</v>
      </c>
      <c r="C286" s="4" t="s">
        <v>3977</v>
      </c>
      <c r="D286" s="4" t="s">
        <v>3970</v>
      </c>
      <c r="E286" s="7" t="n">
        <v>2022</v>
      </c>
    </row>
    <row r="287" customFormat="false" ht="15" hidden="false" customHeight="false" outlineLevel="0" collapsed="false">
      <c r="A287" s="4" t="s">
        <v>2666</v>
      </c>
      <c r="B287" s="4" t="s">
        <v>3976</v>
      </c>
      <c r="C287" s="4" t="s">
        <v>3977</v>
      </c>
      <c r="D287" s="4" t="s">
        <v>3962</v>
      </c>
      <c r="E287" s="7" t="n">
        <v>2018</v>
      </c>
    </row>
    <row r="288" customFormat="false" ht="15" hidden="false" customHeight="false" outlineLevel="0" collapsed="false">
      <c r="A288" s="4" t="s">
        <v>2674</v>
      </c>
      <c r="B288" s="4" t="s">
        <v>3976</v>
      </c>
      <c r="C288" s="4" t="s">
        <v>3960</v>
      </c>
      <c r="D288" s="4" t="s">
        <v>3968</v>
      </c>
      <c r="E288" s="7" t="n">
        <v>2022</v>
      </c>
    </row>
    <row r="289" customFormat="false" ht="15" hidden="false" customHeight="false" outlineLevel="0" collapsed="false">
      <c r="A289" s="4" t="s">
        <v>2674</v>
      </c>
      <c r="B289" s="4" t="s">
        <v>3961</v>
      </c>
      <c r="C289" s="4" t="s">
        <v>3958</v>
      </c>
      <c r="D289" s="4" t="s">
        <v>3968</v>
      </c>
      <c r="E289" s="7" t="n">
        <v>2020</v>
      </c>
    </row>
    <row r="290" customFormat="false" ht="15" hidden="false" customHeight="false" outlineLevel="0" collapsed="false">
      <c r="A290" s="4" t="s">
        <v>2680</v>
      </c>
      <c r="B290" s="4" t="s">
        <v>3954</v>
      </c>
      <c r="C290" s="4" t="s">
        <v>3958</v>
      </c>
      <c r="D290" s="4" t="s">
        <v>3968</v>
      </c>
      <c r="E290" s="7" t="n">
        <v>2020</v>
      </c>
    </row>
    <row r="291" customFormat="false" ht="15" hidden="false" customHeight="false" outlineLevel="0" collapsed="false">
      <c r="A291" s="4" t="s">
        <v>2686</v>
      </c>
      <c r="B291" s="4" t="s">
        <v>3969</v>
      </c>
      <c r="C291" s="4" t="s">
        <v>3958</v>
      </c>
      <c r="D291" s="4" t="s">
        <v>3953</v>
      </c>
      <c r="E291" s="7" t="n">
        <v>2022</v>
      </c>
    </row>
    <row r="292" customFormat="false" ht="15" hidden="false" customHeight="false" outlineLevel="0" collapsed="false">
      <c r="A292" s="4" t="s">
        <v>2686</v>
      </c>
      <c r="B292" s="4" t="s">
        <v>3954</v>
      </c>
      <c r="C292" s="4" t="s">
        <v>3958</v>
      </c>
      <c r="D292" s="4" t="s">
        <v>3962</v>
      </c>
      <c r="E292" s="7" t="n">
        <v>2024</v>
      </c>
    </row>
    <row r="293" customFormat="false" ht="15" hidden="false" customHeight="false" outlineLevel="0" collapsed="false">
      <c r="A293" s="4" t="s">
        <v>2693</v>
      </c>
      <c r="B293" s="4" t="s">
        <v>3965</v>
      </c>
      <c r="C293" s="4" t="s">
        <v>3958</v>
      </c>
      <c r="D293" s="4" t="s">
        <v>3967</v>
      </c>
      <c r="E293" s="7" t="n">
        <v>2024</v>
      </c>
    </row>
    <row r="294" customFormat="false" ht="15" hidden="false" customHeight="false" outlineLevel="0" collapsed="false">
      <c r="A294" s="4" t="s">
        <v>2701</v>
      </c>
      <c r="B294" s="4" t="s">
        <v>3963</v>
      </c>
      <c r="C294" s="4" t="s">
        <v>3958</v>
      </c>
      <c r="D294" s="4" t="s">
        <v>3970</v>
      </c>
      <c r="E294" s="7" t="n">
        <v>2023</v>
      </c>
    </row>
    <row r="295" customFormat="false" ht="15" hidden="false" customHeight="false" outlineLevel="0" collapsed="false">
      <c r="A295" s="4" t="s">
        <v>2701</v>
      </c>
      <c r="B295" s="4" t="s">
        <v>3961</v>
      </c>
      <c r="C295" s="4" t="s">
        <v>3960</v>
      </c>
      <c r="D295" s="4" t="s">
        <v>3967</v>
      </c>
      <c r="E295" s="7" t="n">
        <v>2022</v>
      </c>
    </row>
    <row r="296" customFormat="false" ht="15" hidden="false" customHeight="false" outlineLevel="0" collapsed="false">
      <c r="A296" s="4" t="s">
        <v>2709</v>
      </c>
      <c r="B296" s="4" t="s">
        <v>3965</v>
      </c>
      <c r="C296" s="4" t="s">
        <v>3958</v>
      </c>
      <c r="D296" s="4" t="s">
        <v>3967</v>
      </c>
      <c r="E296" s="7" t="n">
        <v>2024</v>
      </c>
    </row>
    <row r="297" customFormat="false" ht="15" hidden="false" customHeight="false" outlineLevel="0" collapsed="false">
      <c r="A297" s="4" t="s">
        <v>2717</v>
      </c>
      <c r="B297" s="4" t="s">
        <v>3957</v>
      </c>
      <c r="C297" s="4" t="s">
        <v>3960</v>
      </c>
      <c r="D297" s="4" t="s">
        <v>3967</v>
      </c>
      <c r="E297" s="7" t="n">
        <v>2019</v>
      </c>
    </row>
    <row r="298" customFormat="false" ht="15" hidden="false" customHeight="false" outlineLevel="0" collapsed="false">
      <c r="A298" s="4" t="s">
        <v>2717</v>
      </c>
      <c r="B298" s="4" t="s">
        <v>3965</v>
      </c>
      <c r="C298" s="4" t="s">
        <v>3952</v>
      </c>
      <c r="D298" s="4" t="s">
        <v>3962</v>
      </c>
      <c r="E298" s="7" t="n">
        <v>2023</v>
      </c>
    </row>
    <row r="299" customFormat="false" ht="15" hidden="false" customHeight="false" outlineLevel="0" collapsed="false">
      <c r="A299" s="4" t="s">
        <v>2733</v>
      </c>
      <c r="B299" s="4" t="s">
        <v>3971</v>
      </c>
      <c r="C299" s="4" t="s">
        <v>3960</v>
      </c>
      <c r="D299" s="4" t="s">
        <v>3953</v>
      </c>
      <c r="E299" s="7" t="n">
        <v>2018</v>
      </c>
    </row>
    <row r="300" customFormat="false" ht="15" hidden="false" customHeight="false" outlineLevel="0" collapsed="false">
      <c r="A300" s="4" t="s">
        <v>2741</v>
      </c>
      <c r="B300" s="4" t="s">
        <v>3965</v>
      </c>
      <c r="C300" s="4" t="s">
        <v>3955</v>
      </c>
      <c r="D300" s="4" t="s">
        <v>3956</v>
      </c>
      <c r="E300" s="7" t="n">
        <v>2024</v>
      </c>
    </row>
    <row r="301" customFormat="false" ht="15" hidden="false" customHeight="false" outlineLevel="0" collapsed="false">
      <c r="A301" s="4" t="s">
        <v>2748</v>
      </c>
      <c r="B301" s="4" t="s">
        <v>3957</v>
      </c>
      <c r="C301" s="4" t="s">
        <v>3960</v>
      </c>
      <c r="D301" s="4" t="s">
        <v>3967</v>
      </c>
      <c r="E301" s="7" t="n">
        <v>2018</v>
      </c>
    </row>
    <row r="302" customFormat="false" ht="15" hidden="false" customHeight="false" outlineLevel="0" collapsed="false">
      <c r="A302" s="4" t="s">
        <v>2754</v>
      </c>
      <c r="B302" s="4" t="s">
        <v>3959</v>
      </c>
      <c r="C302" s="4" t="s">
        <v>3975</v>
      </c>
      <c r="D302" s="4" t="s">
        <v>3956</v>
      </c>
      <c r="E302" s="7" t="n">
        <v>2022</v>
      </c>
    </row>
    <row r="303" customFormat="false" ht="15" hidden="false" customHeight="false" outlineLevel="0" collapsed="false">
      <c r="A303" s="4" t="s">
        <v>2762</v>
      </c>
      <c r="B303" s="4" t="s">
        <v>3969</v>
      </c>
      <c r="C303" s="4" t="s">
        <v>3958</v>
      </c>
      <c r="D303" s="4" t="s">
        <v>3968</v>
      </c>
      <c r="E303" s="7" t="n">
        <v>2022</v>
      </c>
    </row>
    <row r="304" customFormat="false" ht="15" hidden="false" customHeight="false" outlineLevel="0" collapsed="false">
      <c r="A304" s="4" t="s">
        <v>2762</v>
      </c>
      <c r="B304" s="4" t="s">
        <v>3961</v>
      </c>
      <c r="C304" s="4" t="s">
        <v>3958</v>
      </c>
      <c r="D304" s="4" t="s">
        <v>3968</v>
      </c>
      <c r="E304" s="7" t="n">
        <v>2022</v>
      </c>
    </row>
    <row r="305" customFormat="false" ht="15" hidden="false" customHeight="false" outlineLevel="0" collapsed="false">
      <c r="A305" s="4" t="s">
        <v>2777</v>
      </c>
      <c r="B305" s="4" t="s">
        <v>3963</v>
      </c>
      <c r="C305" s="4" t="s">
        <v>3952</v>
      </c>
      <c r="D305" s="4" t="s">
        <v>3962</v>
      </c>
      <c r="E305" s="7" t="n">
        <v>2024</v>
      </c>
    </row>
    <row r="306" customFormat="false" ht="15" hidden="false" customHeight="false" outlineLevel="0" collapsed="false">
      <c r="A306" s="4" t="s">
        <v>2784</v>
      </c>
      <c r="B306" s="4" t="s">
        <v>3971</v>
      </c>
      <c r="C306" s="4" t="s">
        <v>3955</v>
      </c>
      <c r="D306" s="4" t="s">
        <v>3968</v>
      </c>
      <c r="E306" s="7" t="n">
        <v>2021</v>
      </c>
    </row>
    <row r="307" customFormat="false" ht="15" hidden="false" customHeight="false" outlineLevel="0" collapsed="false">
      <c r="A307" s="4" t="s">
        <v>2791</v>
      </c>
      <c r="B307" s="4" t="s">
        <v>3976</v>
      </c>
      <c r="C307" s="4" t="s">
        <v>3958</v>
      </c>
      <c r="D307" s="4" t="s">
        <v>3956</v>
      </c>
      <c r="E307" s="7" t="n">
        <v>2021</v>
      </c>
    </row>
    <row r="308" customFormat="false" ht="15" hidden="false" customHeight="false" outlineLevel="0" collapsed="false">
      <c r="A308" s="4" t="s">
        <v>2798</v>
      </c>
      <c r="B308" s="4" t="s">
        <v>3959</v>
      </c>
      <c r="C308" s="4" t="s">
        <v>3958</v>
      </c>
      <c r="D308" s="4" t="s">
        <v>3956</v>
      </c>
      <c r="E308" s="7" t="n">
        <v>2021</v>
      </c>
    </row>
    <row r="309" customFormat="false" ht="15" hidden="false" customHeight="false" outlineLevel="0" collapsed="false">
      <c r="A309" s="4" t="s">
        <v>2812</v>
      </c>
      <c r="B309" s="4" t="s">
        <v>3971</v>
      </c>
      <c r="C309" s="4" t="s">
        <v>3955</v>
      </c>
      <c r="D309" s="4" t="s">
        <v>3953</v>
      </c>
      <c r="E309" s="7" t="n">
        <v>2020</v>
      </c>
    </row>
    <row r="310" customFormat="false" ht="15" hidden="false" customHeight="false" outlineLevel="0" collapsed="false">
      <c r="A310" s="4" t="s">
        <v>2812</v>
      </c>
      <c r="B310" s="4" t="s">
        <v>3954</v>
      </c>
      <c r="C310" s="4" t="s">
        <v>3960</v>
      </c>
      <c r="D310" s="4" t="s">
        <v>3964</v>
      </c>
      <c r="E310" s="7" t="n">
        <v>2016</v>
      </c>
    </row>
    <row r="311" customFormat="false" ht="15" hidden="false" customHeight="false" outlineLevel="0" collapsed="false">
      <c r="A311" s="4" t="s">
        <v>2819</v>
      </c>
      <c r="B311" s="4" t="s">
        <v>3972</v>
      </c>
      <c r="C311" s="4" t="s">
        <v>3975</v>
      </c>
      <c r="D311" s="4" t="s">
        <v>3970</v>
      </c>
      <c r="E311" s="7" t="n">
        <v>2017</v>
      </c>
    </row>
    <row r="312" customFormat="false" ht="15" hidden="false" customHeight="false" outlineLevel="0" collapsed="false">
      <c r="A312" s="4" t="s">
        <v>2825</v>
      </c>
      <c r="B312" s="4" t="s">
        <v>3969</v>
      </c>
      <c r="C312" s="4" t="s">
        <v>3952</v>
      </c>
      <c r="D312" s="4" t="s">
        <v>3967</v>
      </c>
      <c r="E312" s="7" t="n">
        <v>2023</v>
      </c>
    </row>
    <row r="313" customFormat="false" ht="15" hidden="false" customHeight="false" outlineLevel="0" collapsed="false">
      <c r="A313" s="4" t="s">
        <v>2825</v>
      </c>
      <c r="B313" s="4" t="s">
        <v>3974</v>
      </c>
      <c r="C313" s="4" t="s">
        <v>3958</v>
      </c>
      <c r="D313" s="4" t="s">
        <v>3968</v>
      </c>
      <c r="E313" s="7" t="n">
        <v>2025</v>
      </c>
    </row>
    <row r="314" customFormat="false" ht="15" hidden="false" customHeight="false" outlineLevel="0" collapsed="false">
      <c r="A314" s="4" t="s">
        <v>2833</v>
      </c>
      <c r="B314" s="4" t="s">
        <v>3959</v>
      </c>
      <c r="C314" s="4" t="s">
        <v>3958</v>
      </c>
      <c r="D314" s="4" t="s">
        <v>3962</v>
      </c>
      <c r="E314" s="7" t="n">
        <v>2021</v>
      </c>
    </row>
    <row r="315" customFormat="false" ht="15" hidden="false" customHeight="false" outlineLevel="0" collapsed="false">
      <c r="A315" s="4" t="s">
        <v>2841</v>
      </c>
      <c r="B315" s="4" t="s">
        <v>3976</v>
      </c>
      <c r="C315" s="4" t="s">
        <v>3955</v>
      </c>
      <c r="D315" s="4" t="s">
        <v>3970</v>
      </c>
      <c r="E315" s="7" t="n">
        <v>2019</v>
      </c>
    </row>
    <row r="316" customFormat="false" ht="15" hidden="false" customHeight="false" outlineLevel="0" collapsed="false">
      <c r="A316" s="4" t="s">
        <v>2856</v>
      </c>
      <c r="B316" s="4" t="s">
        <v>3954</v>
      </c>
      <c r="C316" s="4" t="s">
        <v>3975</v>
      </c>
      <c r="D316" s="4" t="s">
        <v>3970</v>
      </c>
      <c r="E316" s="7" t="n">
        <v>2020</v>
      </c>
    </row>
    <row r="317" customFormat="false" ht="15" hidden="false" customHeight="false" outlineLevel="0" collapsed="false">
      <c r="A317" s="4" t="s">
        <v>2864</v>
      </c>
      <c r="B317" s="4" t="s">
        <v>3965</v>
      </c>
      <c r="C317" s="4" t="s">
        <v>3958</v>
      </c>
      <c r="D317" s="4" t="s">
        <v>3953</v>
      </c>
      <c r="E317" s="7" t="n">
        <v>2022</v>
      </c>
    </row>
    <row r="318" customFormat="false" ht="15" hidden="false" customHeight="false" outlineLevel="0" collapsed="false">
      <c r="A318" s="4" t="s">
        <v>2872</v>
      </c>
      <c r="B318" s="4" t="s">
        <v>3965</v>
      </c>
      <c r="C318" s="4" t="s">
        <v>3958</v>
      </c>
      <c r="D318" s="4" t="s">
        <v>3953</v>
      </c>
      <c r="E318" s="7" t="n">
        <v>2020</v>
      </c>
    </row>
    <row r="319" customFormat="false" ht="15" hidden="false" customHeight="false" outlineLevel="0" collapsed="false">
      <c r="A319" s="4" t="s">
        <v>2872</v>
      </c>
      <c r="B319" s="4" t="s">
        <v>3957</v>
      </c>
      <c r="C319" s="4" t="s">
        <v>3960</v>
      </c>
      <c r="D319" s="4" t="s">
        <v>3956</v>
      </c>
      <c r="E319" s="7" t="n">
        <v>2024</v>
      </c>
    </row>
    <row r="320" customFormat="false" ht="15" hidden="false" customHeight="false" outlineLevel="0" collapsed="false">
      <c r="A320" s="4" t="s">
        <v>2888</v>
      </c>
      <c r="B320" s="4" t="s">
        <v>3969</v>
      </c>
      <c r="C320" s="4" t="s">
        <v>3955</v>
      </c>
      <c r="D320" s="4" t="s">
        <v>3964</v>
      </c>
      <c r="E320" s="7" t="n">
        <v>2022</v>
      </c>
    </row>
    <row r="321" customFormat="false" ht="15" hidden="false" customHeight="false" outlineLevel="0" collapsed="false">
      <c r="A321" s="4" t="s">
        <v>2895</v>
      </c>
      <c r="B321" s="4" t="s">
        <v>3961</v>
      </c>
      <c r="C321" s="4" t="s">
        <v>3960</v>
      </c>
      <c r="D321" s="4" t="s">
        <v>3962</v>
      </c>
      <c r="E321" s="7" t="n">
        <v>2020</v>
      </c>
    </row>
    <row r="322" customFormat="false" ht="15" hidden="false" customHeight="false" outlineLevel="0" collapsed="false">
      <c r="A322" s="4" t="s">
        <v>2903</v>
      </c>
      <c r="B322" s="4" t="s">
        <v>3957</v>
      </c>
      <c r="C322" s="4" t="s">
        <v>3952</v>
      </c>
      <c r="D322" s="4" t="s">
        <v>3967</v>
      </c>
      <c r="E322" s="7" t="n">
        <v>2022</v>
      </c>
    </row>
    <row r="323" customFormat="false" ht="15" hidden="false" customHeight="false" outlineLevel="0" collapsed="false">
      <c r="A323" s="4" t="s">
        <v>2903</v>
      </c>
      <c r="B323" s="4" t="s">
        <v>3951</v>
      </c>
      <c r="C323" s="4" t="s">
        <v>3955</v>
      </c>
      <c r="D323" s="4" t="s">
        <v>3962</v>
      </c>
      <c r="E323" s="7" t="n">
        <v>2022</v>
      </c>
    </row>
    <row r="324" customFormat="false" ht="15" hidden="false" customHeight="false" outlineLevel="0" collapsed="false">
      <c r="A324" s="4" t="s">
        <v>2925</v>
      </c>
      <c r="B324" s="4" t="s">
        <v>3966</v>
      </c>
      <c r="C324" s="4" t="s">
        <v>3977</v>
      </c>
      <c r="D324" s="4" t="s">
        <v>3962</v>
      </c>
      <c r="E324" s="7" t="n">
        <v>2021</v>
      </c>
    </row>
    <row r="325" customFormat="false" ht="15" hidden="false" customHeight="false" outlineLevel="0" collapsed="false">
      <c r="A325" s="4" t="s">
        <v>2946</v>
      </c>
      <c r="B325" s="4" t="s">
        <v>3957</v>
      </c>
      <c r="C325" s="4" t="s">
        <v>3958</v>
      </c>
      <c r="D325" s="4" t="s">
        <v>3967</v>
      </c>
      <c r="E325" s="7" t="n">
        <v>2022</v>
      </c>
    </row>
    <row r="326" customFormat="false" ht="15" hidden="false" customHeight="false" outlineLevel="0" collapsed="false">
      <c r="A326" s="4" t="s">
        <v>2946</v>
      </c>
      <c r="B326" s="4" t="s">
        <v>3971</v>
      </c>
      <c r="C326" s="4" t="s">
        <v>3955</v>
      </c>
      <c r="D326" s="4" t="s">
        <v>3967</v>
      </c>
      <c r="E326" s="7" t="n">
        <v>2023</v>
      </c>
    </row>
    <row r="327" customFormat="false" ht="15" hidden="false" customHeight="false" outlineLevel="0" collapsed="false">
      <c r="A327" s="4" t="s">
        <v>2953</v>
      </c>
      <c r="B327" s="4" t="s">
        <v>3972</v>
      </c>
      <c r="C327" s="4" t="s">
        <v>3958</v>
      </c>
      <c r="D327" s="4" t="s">
        <v>3962</v>
      </c>
      <c r="E327" s="7" t="n">
        <v>2023</v>
      </c>
    </row>
    <row r="328" customFormat="false" ht="15" hidden="false" customHeight="false" outlineLevel="0" collapsed="false">
      <c r="A328" s="4" t="s">
        <v>2953</v>
      </c>
      <c r="B328" s="4" t="s">
        <v>3959</v>
      </c>
      <c r="C328" s="4" t="s">
        <v>3955</v>
      </c>
      <c r="D328" s="4" t="s">
        <v>3970</v>
      </c>
      <c r="E328" s="7" t="n">
        <v>2023</v>
      </c>
    </row>
    <row r="329" customFormat="false" ht="15" hidden="false" customHeight="false" outlineLevel="0" collapsed="false">
      <c r="A329" s="4" t="s">
        <v>2967</v>
      </c>
      <c r="B329" s="4" t="s">
        <v>3963</v>
      </c>
      <c r="C329" s="4" t="s">
        <v>3975</v>
      </c>
      <c r="D329" s="4" t="s">
        <v>3967</v>
      </c>
      <c r="E329" s="7" t="n">
        <v>2019</v>
      </c>
    </row>
    <row r="330" customFormat="false" ht="15" hidden="false" customHeight="false" outlineLevel="0" collapsed="false">
      <c r="A330" s="4" t="s">
        <v>2975</v>
      </c>
      <c r="B330" s="4" t="s">
        <v>3972</v>
      </c>
      <c r="C330" s="4" t="s">
        <v>3958</v>
      </c>
      <c r="D330" s="4" t="s">
        <v>3970</v>
      </c>
      <c r="E330" s="7" t="n">
        <v>2020</v>
      </c>
    </row>
    <row r="331" customFormat="false" ht="15" hidden="false" customHeight="false" outlineLevel="0" collapsed="false">
      <c r="A331" s="4" t="s">
        <v>2983</v>
      </c>
      <c r="B331" s="4" t="s">
        <v>3976</v>
      </c>
      <c r="C331" s="4" t="s">
        <v>3952</v>
      </c>
      <c r="D331" s="4" t="s">
        <v>3956</v>
      </c>
      <c r="E331" s="7" t="n">
        <v>2025</v>
      </c>
    </row>
    <row r="332" customFormat="false" ht="15" hidden="false" customHeight="false" outlineLevel="0" collapsed="false">
      <c r="A332" s="4" t="s">
        <v>3014</v>
      </c>
      <c r="B332" s="4" t="s">
        <v>3972</v>
      </c>
      <c r="C332" s="4" t="s">
        <v>3960</v>
      </c>
      <c r="D332" s="4" t="s">
        <v>3956</v>
      </c>
      <c r="E332" s="7" t="n">
        <v>2021</v>
      </c>
    </row>
    <row r="333" customFormat="false" ht="15" hidden="false" customHeight="false" outlineLevel="0" collapsed="false">
      <c r="A333" s="4" t="s">
        <v>3021</v>
      </c>
      <c r="B333" s="4" t="s">
        <v>3959</v>
      </c>
      <c r="C333" s="4" t="s">
        <v>3960</v>
      </c>
      <c r="D333" s="4" t="s">
        <v>3962</v>
      </c>
      <c r="E333" s="7" t="n">
        <v>2021</v>
      </c>
    </row>
    <row r="334" customFormat="false" ht="15" hidden="false" customHeight="false" outlineLevel="0" collapsed="false">
      <c r="A334" s="4" t="s">
        <v>3029</v>
      </c>
      <c r="B334" s="4" t="s">
        <v>3963</v>
      </c>
      <c r="C334" s="4" t="s">
        <v>3958</v>
      </c>
      <c r="D334" s="4" t="s">
        <v>3970</v>
      </c>
      <c r="E334" s="7" t="n">
        <v>2020</v>
      </c>
    </row>
    <row r="335" customFormat="false" ht="15" hidden="false" customHeight="false" outlineLevel="0" collapsed="false">
      <c r="A335" s="4" t="s">
        <v>3044</v>
      </c>
      <c r="B335" s="4" t="s">
        <v>3965</v>
      </c>
      <c r="C335" s="4" t="s">
        <v>3960</v>
      </c>
      <c r="D335" s="4" t="s">
        <v>3970</v>
      </c>
      <c r="E335" s="7" t="n">
        <v>2020</v>
      </c>
    </row>
    <row r="336" customFormat="false" ht="15" hidden="false" customHeight="false" outlineLevel="0" collapsed="false">
      <c r="A336" s="4" t="s">
        <v>3052</v>
      </c>
      <c r="B336" s="4" t="s">
        <v>3976</v>
      </c>
      <c r="C336" s="4" t="s">
        <v>3955</v>
      </c>
      <c r="D336" s="4" t="s">
        <v>3953</v>
      </c>
      <c r="E336" s="7" t="n">
        <v>2020</v>
      </c>
    </row>
    <row r="337" customFormat="false" ht="15" hidden="false" customHeight="false" outlineLevel="0" collapsed="false">
      <c r="A337" s="4" t="s">
        <v>3059</v>
      </c>
      <c r="B337" s="4" t="s">
        <v>3957</v>
      </c>
      <c r="C337" s="4" t="s">
        <v>3958</v>
      </c>
      <c r="D337" s="4" t="s">
        <v>3970</v>
      </c>
      <c r="E337" s="7" t="n">
        <v>2023</v>
      </c>
    </row>
    <row r="338" customFormat="false" ht="15" hidden="false" customHeight="false" outlineLevel="0" collapsed="false">
      <c r="A338" s="4" t="s">
        <v>3067</v>
      </c>
      <c r="B338" s="4" t="s">
        <v>3974</v>
      </c>
      <c r="C338" s="4" t="s">
        <v>3958</v>
      </c>
      <c r="D338" s="4" t="s">
        <v>3962</v>
      </c>
      <c r="E338" s="7" t="n">
        <v>2019</v>
      </c>
    </row>
    <row r="339" customFormat="false" ht="15" hidden="false" customHeight="false" outlineLevel="0" collapsed="false">
      <c r="A339" s="4" t="s">
        <v>3067</v>
      </c>
      <c r="B339" s="4" t="s">
        <v>3972</v>
      </c>
      <c r="C339" s="4" t="s">
        <v>3952</v>
      </c>
      <c r="D339" s="4" t="s">
        <v>3964</v>
      </c>
      <c r="E339" s="7" t="n">
        <v>2020</v>
      </c>
    </row>
    <row r="340" customFormat="false" ht="15" hidden="false" customHeight="false" outlineLevel="0" collapsed="false">
      <c r="A340" s="4" t="s">
        <v>3075</v>
      </c>
      <c r="B340" s="4" t="s">
        <v>3972</v>
      </c>
      <c r="C340" s="4" t="s">
        <v>3952</v>
      </c>
      <c r="D340" s="4" t="s">
        <v>3953</v>
      </c>
      <c r="E340" s="7" t="n">
        <v>2022</v>
      </c>
    </row>
    <row r="341" customFormat="false" ht="15" hidden="false" customHeight="false" outlineLevel="0" collapsed="false">
      <c r="A341" s="4" t="s">
        <v>3083</v>
      </c>
      <c r="B341" s="4" t="s">
        <v>3957</v>
      </c>
      <c r="C341" s="4" t="s">
        <v>3960</v>
      </c>
      <c r="D341" s="4" t="s">
        <v>3968</v>
      </c>
      <c r="E341" s="7" t="n">
        <v>2020</v>
      </c>
    </row>
    <row r="342" customFormat="false" ht="15" hidden="false" customHeight="false" outlineLevel="0" collapsed="false">
      <c r="A342" s="4" t="s">
        <v>3083</v>
      </c>
      <c r="B342" s="4" t="s">
        <v>3974</v>
      </c>
      <c r="C342" s="4" t="s">
        <v>3958</v>
      </c>
      <c r="D342" s="4" t="s">
        <v>3967</v>
      </c>
      <c r="E342" s="7" t="n">
        <v>2023</v>
      </c>
    </row>
    <row r="343" customFormat="false" ht="15" hidden="false" customHeight="false" outlineLevel="0" collapsed="false">
      <c r="A343" s="4" t="s">
        <v>3090</v>
      </c>
      <c r="B343" s="4" t="s">
        <v>3976</v>
      </c>
      <c r="C343" s="4" t="s">
        <v>3960</v>
      </c>
      <c r="D343" s="4" t="s">
        <v>3967</v>
      </c>
      <c r="E343" s="7" t="n">
        <v>2020</v>
      </c>
    </row>
    <row r="344" customFormat="false" ht="15" hidden="false" customHeight="false" outlineLevel="0" collapsed="false">
      <c r="A344" s="4" t="s">
        <v>3106</v>
      </c>
      <c r="B344" s="4" t="s">
        <v>3965</v>
      </c>
      <c r="C344" s="4" t="s">
        <v>3958</v>
      </c>
      <c r="D344" s="4" t="s">
        <v>3956</v>
      </c>
      <c r="E344" s="7" t="n">
        <v>2024</v>
      </c>
    </row>
    <row r="345" customFormat="false" ht="15" hidden="false" customHeight="false" outlineLevel="0" collapsed="false">
      <c r="A345" s="4" t="s">
        <v>3106</v>
      </c>
      <c r="B345" s="4" t="s">
        <v>3973</v>
      </c>
      <c r="C345" s="4" t="s">
        <v>3958</v>
      </c>
      <c r="D345" s="4" t="s">
        <v>3962</v>
      </c>
      <c r="E345" s="7" t="n">
        <v>2022</v>
      </c>
    </row>
    <row r="346" customFormat="false" ht="15" hidden="false" customHeight="false" outlineLevel="0" collapsed="false">
      <c r="A346" s="4" t="s">
        <v>3129</v>
      </c>
      <c r="B346" s="4" t="s">
        <v>3965</v>
      </c>
      <c r="C346" s="4" t="s">
        <v>3955</v>
      </c>
      <c r="D346" s="4" t="s">
        <v>3964</v>
      </c>
      <c r="E346" s="7" t="n">
        <v>2018</v>
      </c>
    </row>
    <row r="347" customFormat="false" ht="15" hidden="false" customHeight="false" outlineLevel="0" collapsed="false">
      <c r="A347" s="4" t="s">
        <v>3144</v>
      </c>
      <c r="B347" s="4" t="s">
        <v>3951</v>
      </c>
      <c r="C347" s="4" t="s">
        <v>3952</v>
      </c>
      <c r="D347" s="4" t="s">
        <v>3962</v>
      </c>
      <c r="E347" s="7" t="n">
        <v>2020</v>
      </c>
    </row>
    <row r="348" customFormat="false" ht="15" hidden="false" customHeight="false" outlineLevel="0" collapsed="false">
      <c r="A348" s="4" t="s">
        <v>3167</v>
      </c>
      <c r="B348" s="4" t="s">
        <v>3971</v>
      </c>
      <c r="C348" s="4" t="s">
        <v>3960</v>
      </c>
      <c r="D348" s="4" t="s">
        <v>3967</v>
      </c>
      <c r="E348" s="7" t="n">
        <v>2023</v>
      </c>
    </row>
    <row r="349" customFormat="false" ht="15" hidden="false" customHeight="false" outlineLevel="0" collapsed="false">
      <c r="A349" s="4" t="s">
        <v>3175</v>
      </c>
      <c r="B349" s="4" t="s">
        <v>3959</v>
      </c>
      <c r="C349" s="4" t="s">
        <v>3952</v>
      </c>
      <c r="D349" s="4" t="s">
        <v>3953</v>
      </c>
      <c r="E349" s="7" t="n">
        <v>2023</v>
      </c>
    </row>
    <row r="350" customFormat="false" ht="15" hidden="false" customHeight="false" outlineLevel="0" collapsed="false">
      <c r="A350" s="4" t="s">
        <v>3183</v>
      </c>
      <c r="B350" s="4" t="s">
        <v>3976</v>
      </c>
      <c r="C350" s="4" t="s">
        <v>3960</v>
      </c>
      <c r="D350" s="4" t="s">
        <v>3956</v>
      </c>
      <c r="E350" s="7" t="n">
        <v>2021</v>
      </c>
    </row>
    <row r="351" customFormat="false" ht="15" hidden="false" customHeight="false" outlineLevel="0" collapsed="false">
      <c r="A351" s="4" t="s">
        <v>3191</v>
      </c>
      <c r="B351" s="4" t="s">
        <v>3969</v>
      </c>
      <c r="C351" s="4" t="s">
        <v>3958</v>
      </c>
      <c r="D351" s="4" t="s">
        <v>3962</v>
      </c>
      <c r="E351" s="7" t="n">
        <v>2023</v>
      </c>
    </row>
    <row r="352" customFormat="false" ht="15" hidden="false" customHeight="false" outlineLevel="0" collapsed="false">
      <c r="A352" s="4" t="s">
        <v>3206</v>
      </c>
      <c r="B352" s="4" t="s">
        <v>3951</v>
      </c>
      <c r="C352" s="4" t="s">
        <v>3955</v>
      </c>
      <c r="D352" s="4" t="s">
        <v>3956</v>
      </c>
      <c r="E352" s="7" t="n">
        <v>2017</v>
      </c>
    </row>
    <row r="353" customFormat="false" ht="15" hidden="false" customHeight="false" outlineLevel="0" collapsed="false">
      <c r="A353" s="4" t="s">
        <v>3212</v>
      </c>
      <c r="B353" s="4" t="s">
        <v>3972</v>
      </c>
      <c r="C353" s="4" t="s">
        <v>3975</v>
      </c>
      <c r="D353" s="4" t="s">
        <v>3968</v>
      </c>
      <c r="E353" s="7" t="n">
        <v>2022</v>
      </c>
    </row>
    <row r="354" customFormat="false" ht="15" hidden="false" customHeight="false" outlineLevel="0" collapsed="false">
      <c r="A354" s="4" t="s">
        <v>3220</v>
      </c>
      <c r="B354" s="4" t="s">
        <v>3966</v>
      </c>
      <c r="C354" s="4" t="s">
        <v>3952</v>
      </c>
      <c r="D354" s="4" t="s">
        <v>3964</v>
      </c>
      <c r="E354" s="7" t="n">
        <v>2023</v>
      </c>
    </row>
    <row r="355" customFormat="false" ht="15" hidden="false" customHeight="false" outlineLevel="0" collapsed="false">
      <c r="A355" s="4" t="s">
        <v>3220</v>
      </c>
      <c r="B355" s="4" t="s">
        <v>3969</v>
      </c>
      <c r="C355" s="4" t="s">
        <v>3955</v>
      </c>
      <c r="D355" s="4" t="s">
        <v>3970</v>
      </c>
      <c r="E355" s="7" t="n">
        <v>2020</v>
      </c>
    </row>
    <row r="356" customFormat="false" ht="15" hidden="false" customHeight="false" outlineLevel="0" collapsed="false">
      <c r="A356" s="4" t="s">
        <v>3228</v>
      </c>
      <c r="B356" s="4" t="s">
        <v>3965</v>
      </c>
      <c r="C356" s="4" t="s">
        <v>3958</v>
      </c>
      <c r="D356" s="4" t="s">
        <v>3970</v>
      </c>
      <c r="E356" s="7" t="n">
        <v>2020</v>
      </c>
    </row>
    <row r="357" customFormat="false" ht="15" hidden="false" customHeight="false" outlineLevel="0" collapsed="false">
      <c r="A357" s="4" t="s">
        <v>3234</v>
      </c>
      <c r="B357" s="4" t="s">
        <v>3971</v>
      </c>
      <c r="C357" s="4" t="s">
        <v>3952</v>
      </c>
      <c r="D357" s="4" t="s">
        <v>3962</v>
      </c>
      <c r="E357" s="7" t="n">
        <v>2022</v>
      </c>
    </row>
    <row r="358" customFormat="false" ht="15" hidden="false" customHeight="false" outlineLevel="0" collapsed="false">
      <c r="A358" s="4" t="s">
        <v>3248</v>
      </c>
      <c r="B358" s="4" t="s">
        <v>3963</v>
      </c>
      <c r="C358" s="4" t="s">
        <v>3955</v>
      </c>
      <c r="D358" s="4" t="s">
        <v>3970</v>
      </c>
      <c r="E358" s="7" t="n">
        <v>2017</v>
      </c>
    </row>
    <row r="359" customFormat="false" ht="15" hidden="false" customHeight="false" outlineLevel="0" collapsed="false">
      <c r="A359" s="4" t="s">
        <v>3256</v>
      </c>
      <c r="B359" s="4" t="s">
        <v>3957</v>
      </c>
      <c r="C359" s="4" t="s">
        <v>3975</v>
      </c>
      <c r="D359" s="4" t="s">
        <v>3967</v>
      </c>
      <c r="E359" s="7" t="n">
        <v>2024</v>
      </c>
    </row>
    <row r="360" customFormat="false" ht="15" hidden="false" customHeight="false" outlineLevel="0" collapsed="false">
      <c r="A360" s="4" t="s">
        <v>3264</v>
      </c>
      <c r="B360" s="4" t="s">
        <v>3959</v>
      </c>
      <c r="C360" s="4" t="s">
        <v>3955</v>
      </c>
      <c r="D360" s="4" t="s">
        <v>3970</v>
      </c>
      <c r="E360" s="7" t="n">
        <v>2021</v>
      </c>
    </row>
    <row r="361" customFormat="false" ht="15" hidden="false" customHeight="false" outlineLevel="0" collapsed="false">
      <c r="A361" s="4" t="s">
        <v>3272</v>
      </c>
      <c r="B361" s="4" t="s">
        <v>3973</v>
      </c>
      <c r="C361" s="4" t="s">
        <v>3952</v>
      </c>
      <c r="D361" s="4" t="s">
        <v>3953</v>
      </c>
      <c r="E361" s="7" t="n">
        <v>2020</v>
      </c>
    </row>
    <row r="362" customFormat="false" ht="15" hidden="false" customHeight="false" outlineLevel="0" collapsed="false">
      <c r="A362" s="4" t="s">
        <v>3279</v>
      </c>
      <c r="B362" s="4" t="s">
        <v>3973</v>
      </c>
      <c r="C362" s="4" t="s">
        <v>3952</v>
      </c>
      <c r="D362" s="4" t="s">
        <v>3970</v>
      </c>
      <c r="E362" s="7" t="n">
        <v>2017</v>
      </c>
    </row>
    <row r="363" customFormat="false" ht="15" hidden="false" customHeight="false" outlineLevel="0" collapsed="false">
      <c r="A363" s="4" t="s">
        <v>3287</v>
      </c>
      <c r="B363" s="4" t="s">
        <v>3969</v>
      </c>
      <c r="C363" s="4" t="s">
        <v>3952</v>
      </c>
      <c r="D363" s="4" t="s">
        <v>3967</v>
      </c>
      <c r="E363" s="7" t="n">
        <v>2023</v>
      </c>
    </row>
    <row r="364" customFormat="false" ht="15" hidden="false" customHeight="false" outlineLevel="0" collapsed="false">
      <c r="A364" s="4" t="s">
        <v>3287</v>
      </c>
      <c r="B364" s="4" t="s">
        <v>3976</v>
      </c>
      <c r="C364" s="4" t="s">
        <v>3958</v>
      </c>
      <c r="D364" s="4" t="s">
        <v>3964</v>
      </c>
      <c r="E364" s="7" t="n">
        <v>2022</v>
      </c>
    </row>
    <row r="365" customFormat="false" ht="15" hidden="false" customHeight="false" outlineLevel="0" collapsed="false">
      <c r="A365" s="4" t="s">
        <v>3295</v>
      </c>
      <c r="B365" s="4" t="s">
        <v>3976</v>
      </c>
      <c r="C365" s="4" t="s">
        <v>3960</v>
      </c>
      <c r="D365" s="4" t="s">
        <v>3956</v>
      </c>
      <c r="E365" s="7" t="n">
        <v>2022</v>
      </c>
    </row>
    <row r="366" customFormat="false" ht="15" hidden="false" customHeight="false" outlineLevel="0" collapsed="false">
      <c r="A366" s="4" t="s">
        <v>3295</v>
      </c>
      <c r="B366" s="4" t="s">
        <v>3961</v>
      </c>
      <c r="C366" s="4" t="s">
        <v>3952</v>
      </c>
      <c r="D366" s="4" t="s">
        <v>3967</v>
      </c>
      <c r="E366" s="7" t="n">
        <v>2022</v>
      </c>
    </row>
    <row r="367" customFormat="false" ht="15" hidden="false" customHeight="false" outlineLevel="0" collapsed="false">
      <c r="A367" s="4" t="s">
        <v>3311</v>
      </c>
      <c r="B367" s="4" t="s">
        <v>3965</v>
      </c>
      <c r="C367" s="4" t="s">
        <v>3958</v>
      </c>
      <c r="D367" s="4" t="s">
        <v>3953</v>
      </c>
      <c r="E367" s="7" t="n">
        <v>2021</v>
      </c>
    </row>
    <row r="368" customFormat="false" ht="15" hidden="false" customHeight="false" outlineLevel="0" collapsed="false">
      <c r="A368" s="4" t="s">
        <v>3311</v>
      </c>
      <c r="B368" s="4" t="s">
        <v>3957</v>
      </c>
      <c r="C368" s="4" t="s">
        <v>3960</v>
      </c>
      <c r="D368" s="4" t="s">
        <v>3962</v>
      </c>
      <c r="E368" s="7" t="n">
        <v>2023</v>
      </c>
    </row>
    <row r="369" customFormat="false" ht="15" hidden="false" customHeight="false" outlineLevel="0" collapsed="false">
      <c r="A369" s="4" t="s">
        <v>3340</v>
      </c>
      <c r="B369" s="4" t="s">
        <v>3951</v>
      </c>
      <c r="C369" s="4" t="s">
        <v>3958</v>
      </c>
      <c r="D369" s="4" t="s">
        <v>3967</v>
      </c>
      <c r="E369" s="7" t="n">
        <v>2024</v>
      </c>
    </row>
    <row r="370" customFormat="false" ht="15" hidden="false" customHeight="false" outlineLevel="0" collapsed="false">
      <c r="A370" s="4" t="s">
        <v>3347</v>
      </c>
      <c r="B370" s="4" t="s">
        <v>3976</v>
      </c>
      <c r="C370" s="4" t="s">
        <v>3955</v>
      </c>
      <c r="D370" s="4" t="s">
        <v>3967</v>
      </c>
      <c r="E370" s="7" t="n">
        <v>2022</v>
      </c>
    </row>
    <row r="371" customFormat="false" ht="15" hidden="false" customHeight="false" outlineLevel="0" collapsed="false">
      <c r="A371" s="4" t="s">
        <v>3362</v>
      </c>
      <c r="B371" s="4" t="s">
        <v>3969</v>
      </c>
      <c r="C371" s="4" t="s">
        <v>3952</v>
      </c>
      <c r="D371" s="4" t="s">
        <v>3967</v>
      </c>
      <c r="E371" s="7" t="n">
        <v>2022</v>
      </c>
    </row>
    <row r="372" customFormat="false" ht="15" hidden="false" customHeight="false" outlineLevel="0" collapsed="false">
      <c r="A372" s="4" t="s">
        <v>3369</v>
      </c>
      <c r="B372" s="4" t="s">
        <v>3965</v>
      </c>
      <c r="C372" s="4" t="s">
        <v>3958</v>
      </c>
      <c r="D372" s="4" t="s">
        <v>3953</v>
      </c>
      <c r="E372" s="7" t="n">
        <v>2021</v>
      </c>
    </row>
    <row r="373" customFormat="false" ht="15" hidden="false" customHeight="false" outlineLevel="0" collapsed="false">
      <c r="A373" s="4" t="s">
        <v>3385</v>
      </c>
      <c r="B373" s="4" t="s">
        <v>3969</v>
      </c>
      <c r="C373" s="4" t="s">
        <v>3960</v>
      </c>
      <c r="D373" s="4" t="s">
        <v>3953</v>
      </c>
      <c r="E373" s="7" t="n">
        <v>2021</v>
      </c>
    </row>
    <row r="374" customFormat="false" ht="15" hidden="false" customHeight="false" outlineLevel="0" collapsed="false">
      <c r="A374" s="4" t="s">
        <v>3393</v>
      </c>
      <c r="B374" s="4" t="s">
        <v>3969</v>
      </c>
      <c r="C374" s="4" t="s">
        <v>3952</v>
      </c>
      <c r="D374" s="4" t="s">
        <v>3970</v>
      </c>
      <c r="E374" s="7" t="n">
        <v>2020</v>
      </c>
    </row>
    <row r="375" customFormat="false" ht="15" hidden="false" customHeight="false" outlineLevel="0" collapsed="false">
      <c r="A375" s="4" t="s">
        <v>3393</v>
      </c>
      <c r="B375" s="4" t="s">
        <v>3957</v>
      </c>
      <c r="C375" s="4" t="s">
        <v>3960</v>
      </c>
      <c r="D375" s="4" t="s">
        <v>3967</v>
      </c>
      <c r="E375" s="7" t="n">
        <v>2018</v>
      </c>
    </row>
    <row r="376" customFormat="false" ht="15" hidden="false" customHeight="false" outlineLevel="0" collapsed="false">
      <c r="A376" s="4" t="s">
        <v>3399</v>
      </c>
      <c r="B376" s="4" t="s">
        <v>3976</v>
      </c>
      <c r="C376" s="4" t="s">
        <v>3955</v>
      </c>
      <c r="D376" s="4" t="s">
        <v>3964</v>
      </c>
      <c r="E376" s="7" t="n">
        <v>2023</v>
      </c>
    </row>
    <row r="377" customFormat="false" ht="15" hidden="false" customHeight="false" outlineLevel="0" collapsed="false">
      <c r="A377" s="4" t="s">
        <v>3421</v>
      </c>
      <c r="B377" s="4" t="s">
        <v>3976</v>
      </c>
      <c r="C377" s="4" t="s">
        <v>3960</v>
      </c>
      <c r="D377" s="4" t="s">
        <v>3964</v>
      </c>
      <c r="E377" s="7" t="n">
        <v>2022</v>
      </c>
    </row>
    <row r="378" customFormat="false" ht="15" hidden="false" customHeight="false" outlineLevel="0" collapsed="false">
      <c r="A378" s="4" t="s">
        <v>3429</v>
      </c>
      <c r="B378" s="4" t="s">
        <v>3961</v>
      </c>
      <c r="C378" s="4" t="s">
        <v>3960</v>
      </c>
      <c r="D378" s="4" t="s">
        <v>3970</v>
      </c>
      <c r="E378" s="7" t="n">
        <v>2019</v>
      </c>
    </row>
    <row r="379" customFormat="false" ht="15" hidden="false" customHeight="false" outlineLevel="0" collapsed="false">
      <c r="A379" s="4" t="s">
        <v>3437</v>
      </c>
      <c r="B379" s="4" t="s">
        <v>3961</v>
      </c>
      <c r="C379" s="4" t="s">
        <v>3952</v>
      </c>
      <c r="D379" s="4" t="s">
        <v>3953</v>
      </c>
      <c r="E379" s="7" t="n">
        <v>2017</v>
      </c>
    </row>
    <row r="380" customFormat="false" ht="15" hidden="false" customHeight="false" outlineLevel="0" collapsed="false">
      <c r="A380" s="4" t="s">
        <v>3445</v>
      </c>
      <c r="B380" s="4" t="s">
        <v>3973</v>
      </c>
      <c r="C380" s="4" t="s">
        <v>3952</v>
      </c>
      <c r="D380" s="4" t="s">
        <v>3967</v>
      </c>
      <c r="E380" s="7" t="n">
        <v>2024</v>
      </c>
    </row>
    <row r="381" customFormat="false" ht="15" hidden="false" customHeight="false" outlineLevel="0" collapsed="false">
      <c r="A381" s="4" t="s">
        <v>3445</v>
      </c>
      <c r="B381" s="4" t="s">
        <v>3954</v>
      </c>
      <c r="C381" s="4" t="s">
        <v>3960</v>
      </c>
      <c r="D381" s="4" t="s">
        <v>3956</v>
      </c>
      <c r="E381" s="7" t="n">
        <v>2021</v>
      </c>
    </row>
    <row r="382" customFormat="false" ht="15" hidden="false" customHeight="false" outlineLevel="0" collapsed="false">
      <c r="A382" s="4" t="s">
        <v>3453</v>
      </c>
      <c r="B382" s="4" t="s">
        <v>3972</v>
      </c>
      <c r="C382" s="4" t="s">
        <v>3958</v>
      </c>
      <c r="D382" s="4" t="s">
        <v>3967</v>
      </c>
      <c r="E382" s="7" t="n">
        <v>2020</v>
      </c>
    </row>
    <row r="383" customFormat="false" ht="15" hidden="false" customHeight="false" outlineLevel="0" collapsed="false">
      <c r="A383" s="4" t="s">
        <v>3453</v>
      </c>
      <c r="B383" s="4" t="s">
        <v>3951</v>
      </c>
      <c r="C383" s="4" t="s">
        <v>3960</v>
      </c>
      <c r="D383" s="4" t="s">
        <v>3970</v>
      </c>
      <c r="E383" s="7" t="n">
        <v>2021</v>
      </c>
    </row>
    <row r="384" customFormat="false" ht="15" hidden="false" customHeight="false" outlineLevel="0" collapsed="false">
      <c r="A384" s="4" t="s">
        <v>3468</v>
      </c>
      <c r="B384" s="4" t="s">
        <v>3972</v>
      </c>
      <c r="C384" s="4" t="s">
        <v>3958</v>
      </c>
      <c r="D384" s="4" t="s">
        <v>3956</v>
      </c>
      <c r="E384" s="7" t="n">
        <v>2024</v>
      </c>
    </row>
    <row r="385" customFormat="false" ht="15" hidden="false" customHeight="false" outlineLevel="0" collapsed="false">
      <c r="A385" s="4" t="s">
        <v>3483</v>
      </c>
      <c r="B385" s="4" t="s">
        <v>3965</v>
      </c>
      <c r="C385" s="4" t="s">
        <v>3952</v>
      </c>
      <c r="D385" s="4" t="s">
        <v>3964</v>
      </c>
      <c r="E385" s="7" t="n">
        <v>2020</v>
      </c>
    </row>
    <row r="386" customFormat="false" ht="15" hidden="false" customHeight="false" outlineLevel="0" collapsed="false">
      <c r="A386" s="4" t="s">
        <v>3497</v>
      </c>
      <c r="B386" s="4" t="s">
        <v>3957</v>
      </c>
      <c r="C386" s="4" t="s">
        <v>3958</v>
      </c>
      <c r="D386" s="4" t="s">
        <v>3967</v>
      </c>
      <c r="E386" s="7" t="n">
        <v>2023</v>
      </c>
    </row>
    <row r="387" customFormat="false" ht="15" hidden="false" customHeight="false" outlineLevel="0" collapsed="false">
      <c r="A387" s="4" t="s">
        <v>3513</v>
      </c>
      <c r="B387" s="4" t="s">
        <v>3961</v>
      </c>
      <c r="C387" s="4" t="s">
        <v>3958</v>
      </c>
      <c r="D387" s="4" t="s">
        <v>3970</v>
      </c>
      <c r="E387" s="7" t="n">
        <v>2021</v>
      </c>
    </row>
    <row r="388" customFormat="false" ht="15" hidden="false" customHeight="false" outlineLevel="0" collapsed="false">
      <c r="A388" s="4" t="s">
        <v>3513</v>
      </c>
      <c r="B388" s="4" t="s">
        <v>3972</v>
      </c>
      <c r="C388" s="4" t="s">
        <v>3960</v>
      </c>
      <c r="D388" s="4" t="s">
        <v>3956</v>
      </c>
      <c r="E388" s="7" t="n">
        <v>2022</v>
      </c>
    </row>
    <row r="389" customFormat="false" ht="15" hidden="false" customHeight="false" outlineLevel="0" collapsed="false">
      <c r="A389" s="4" t="s">
        <v>3520</v>
      </c>
      <c r="B389" s="4" t="s">
        <v>3976</v>
      </c>
      <c r="C389" s="4" t="s">
        <v>3952</v>
      </c>
      <c r="D389" s="4" t="s">
        <v>3962</v>
      </c>
      <c r="E389" s="7" t="n">
        <v>2019</v>
      </c>
    </row>
    <row r="390" customFormat="false" ht="15" hidden="false" customHeight="false" outlineLevel="0" collapsed="false">
      <c r="A390" s="4" t="s">
        <v>3533</v>
      </c>
      <c r="B390" s="4" t="s">
        <v>3963</v>
      </c>
      <c r="C390" s="4" t="s">
        <v>3952</v>
      </c>
      <c r="D390" s="4" t="s">
        <v>3962</v>
      </c>
      <c r="E390" s="7" t="n">
        <v>2021</v>
      </c>
    </row>
    <row r="391" customFormat="false" ht="15" hidden="false" customHeight="false" outlineLevel="0" collapsed="false">
      <c r="A391" s="4" t="s">
        <v>3539</v>
      </c>
      <c r="B391" s="4" t="s">
        <v>3963</v>
      </c>
      <c r="C391" s="4" t="s">
        <v>3960</v>
      </c>
      <c r="D391" s="4" t="s">
        <v>3956</v>
      </c>
      <c r="E391" s="7" t="n">
        <v>2024</v>
      </c>
    </row>
    <row r="392" customFormat="false" ht="15" hidden="false" customHeight="false" outlineLevel="0" collapsed="false">
      <c r="A392" s="4" t="s">
        <v>3547</v>
      </c>
      <c r="B392" s="4" t="s">
        <v>3976</v>
      </c>
      <c r="C392" s="4" t="s">
        <v>3958</v>
      </c>
      <c r="D392" s="4" t="s">
        <v>3962</v>
      </c>
      <c r="E392" s="7" t="n">
        <v>2019</v>
      </c>
    </row>
    <row r="393" customFormat="false" ht="15" hidden="false" customHeight="false" outlineLevel="0" collapsed="false">
      <c r="A393" s="4" t="s">
        <v>3553</v>
      </c>
      <c r="B393" s="4" t="s">
        <v>3974</v>
      </c>
      <c r="C393" s="4" t="s">
        <v>3952</v>
      </c>
      <c r="D393" s="4" t="s">
        <v>3962</v>
      </c>
      <c r="E393" s="7" t="n">
        <v>2022</v>
      </c>
    </row>
    <row r="394" customFormat="false" ht="15" hidden="false" customHeight="false" outlineLevel="0" collapsed="false">
      <c r="A394" s="4" t="s">
        <v>3569</v>
      </c>
      <c r="B394" s="4" t="s">
        <v>3969</v>
      </c>
      <c r="C394" s="4" t="s">
        <v>3958</v>
      </c>
      <c r="D394" s="4" t="s">
        <v>3953</v>
      </c>
      <c r="E394" s="7" t="n">
        <v>2021</v>
      </c>
    </row>
    <row r="395" customFormat="false" ht="15" hidden="false" customHeight="false" outlineLevel="0" collapsed="false">
      <c r="A395" s="4" t="s">
        <v>3569</v>
      </c>
      <c r="B395" s="4" t="s">
        <v>3973</v>
      </c>
      <c r="C395" s="4" t="s">
        <v>3958</v>
      </c>
      <c r="D395" s="4" t="s">
        <v>3964</v>
      </c>
      <c r="E395" s="7" t="n">
        <v>2025</v>
      </c>
    </row>
    <row r="396" customFormat="false" ht="15" hidden="false" customHeight="false" outlineLevel="0" collapsed="false">
      <c r="A396" s="4" t="s">
        <v>3577</v>
      </c>
      <c r="B396" s="4" t="s">
        <v>3965</v>
      </c>
      <c r="C396" s="4" t="s">
        <v>3952</v>
      </c>
      <c r="D396" s="4" t="s">
        <v>3956</v>
      </c>
      <c r="E396" s="7" t="n">
        <v>2019</v>
      </c>
    </row>
    <row r="397" customFormat="false" ht="15" hidden="false" customHeight="false" outlineLevel="0" collapsed="false">
      <c r="A397" s="4" t="s">
        <v>3592</v>
      </c>
      <c r="B397" s="4" t="s">
        <v>3951</v>
      </c>
      <c r="C397" s="4" t="s">
        <v>3955</v>
      </c>
      <c r="D397" s="4" t="s">
        <v>3962</v>
      </c>
      <c r="E397" s="7" t="n">
        <v>2019</v>
      </c>
    </row>
    <row r="398" customFormat="false" ht="15" hidden="false" customHeight="false" outlineLevel="0" collapsed="false">
      <c r="A398" s="4" t="s">
        <v>3600</v>
      </c>
      <c r="B398" s="4" t="s">
        <v>3957</v>
      </c>
      <c r="C398" s="4" t="s">
        <v>3960</v>
      </c>
      <c r="D398" s="4" t="s">
        <v>3967</v>
      </c>
      <c r="E398" s="7" t="n">
        <v>2023</v>
      </c>
    </row>
    <row r="399" customFormat="false" ht="15" hidden="false" customHeight="false" outlineLevel="0" collapsed="false">
      <c r="A399" s="4" t="s">
        <v>3607</v>
      </c>
      <c r="B399" s="4" t="s">
        <v>3951</v>
      </c>
      <c r="C399" s="4" t="s">
        <v>3975</v>
      </c>
      <c r="D399" s="4" t="s">
        <v>3967</v>
      </c>
      <c r="E399" s="7" t="n">
        <v>2021</v>
      </c>
    </row>
    <row r="400" customFormat="false" ht="15" hidden="false" customHeight="false" outlineLevel="0" collapsed="false">
      <c r="A400" s="4" t="s">
        <v>3614</v>
      </c>
      <c r="B400" s="4" t="s">
        <v>3951</v>
      </c>
      <c r="C400" s="4" t="s">
        <v>3960</v>
      </c>
      <c r="D400" s="4" t="s">
        <v>3953</v>
      </c>
      <c r="E400" s="7" t="n">
        <v>2020</v>
      </c>
    </row>
    <row r="401" customFormat="false" ht="15" hidden="false" customHeight="false" outlineLevel="0" collapsed="false">
      <c r="A401" s="4" t="s">
        <v>3637</v>
      </c>
      <c r="B401" s="4" t="s">
        <v>3974</v>
      </c>
      <c r="C401" s="4" t="s">
        <v>3958</v>
      </c>
      <c r="D401" s="4" t="s">
        <v>3956</v>
      </c>
      <c r="E401" s="7" t="n">
        <v>2022</v>
      </c>
    </row>
    <row r="402" customFormat="false" ht="15" hidden="false" customHeight="false" outlineLevel="0" collapsed="false">
      <c r="A402" s="4" t="s">
        <v>3644</v>
      </c>
      <c r="B402" s="4" t="s">
        <v>3966</v>
      </c>
      <c r="C402" s="4" t="s">
        <v>3960</v>
      </c>
      <c r="D402" s="4" t="s">
        <v>3967</v>
      </c>
      <c r="E402" s="7" t="n">
        <v>2023</v>
      </c>
    </row>
    <row r="403" customFormat="false" ht="15" hidden="false" customHeight="false" outlineLevel="0" collapsed="false">
      <c r="A403" s="4" t="s">
        <v>3651</v>
      </c>
      <c r="B403" s="4" t="s">
        <v>3959</v>
      </c>
      <c r="C403" s="4" t="s">
        <v>3955</v>
      </c>
      <c r="D403" s="4" t="s">
        <v>3962</v>
      </c>
      <c r="E403" s="7" t="n">
        <v>2022</v>
      </c>
    </row>
    <row r="404" customFormat="false" ht="15" hidden="false" customHeight="false" outlineLevel="0" collapsed="false">
      <c r="A404" s="4" t="s">
        <v>3680</v>
      </c>
      <c r="B404" s="4" t="s">
        <v>3951</v>
      </c>
      <c r="C404" s="4" t="s">
        <v>3955</v>
      </c>
      <c r="D404" s="4" t="s">
        <v>3968</v>
      </c>
      <c r="E404" s="7" t="n">
        <v>2021</v>
      </c>
    </row>
    <row r="405" customFormat="false" ht="15" hidden="false" customHeight="false" outlineLevel="0" collapsed="false">
      <c r="A405" s="4" t="s">
        <v>3687</v>
      </c>
      <c r="B405" s="4" t="s">
        <v>3959</v>
      </c>
      <c r="C405" s="4" t="s">
        <v>3977</v>
      </c>
      <c r="D405" s="4" t="s">
        <v>3964</v>
      </c>
      <c r="E405" s="7" t="n">
        <v>2018</v>
      </c>
    </row>
    <row r="406" customFormat="false" ht="15" hidden="false" customHeight="false" outlineLevel="0" collapsed="false">
      <c r="A406" s="4" t="s">
        <v>3710</v>
      </c>
      <c r="B406" s="4" t="s">
        <v>3959</v>
      </c>
      <c r="C406" s="4" t="s">
        <v>3960</v>
      </c>
      <c r="D406" s="4" t="s">
        <v>3964</v>
      </c>
      <c r="E406" s="7" t="n">
        <v>2018</v>
      </c>
    </row>
    <row r="407" customFormat="false" ht="15" hidden="false" customHeight="false" outlineLevel="0" collapsed="false">
      <c r="A407" s="4" t="s">
        <v>3726</v>
      </c>
      <c r="B407" s="4" t="s">
        <v>3976</v>
      </c>
      <c r="C407" s="4" t="s">
        <v>3958</v>
      </c>
      <c r="D407" s="4" t="s">
        <v>3953</v>
      </c>
      <c r="E407" s="7" t="n">
        <v>2021</v>
      </c>
    </row>
    <row r="408" customFormat="false" ht="15" hidden="false" customHeight="false" outlineLevel="0" collapsed="false">
      <c r="A408" s="4" t="s">
        <v>3733</v>
      </c>
      <c r="B408" s="4" t="s">
        <v>3974</v>
      </c>
      <c r="C408" s="4" t="s">
        <v>3952</v>
      </c>
      <c r="D408" s="4" t="s">
        <v>3968</v>
      </c>
      <c r="E408" s="7" t="n">
        <v>2023</v>
      </c>
    </row>
    <row r="409" customFormat="false" ht="15" hidden="false" customHeight="false" outlineLevel="0" collapsed="false">
      <c r="A409" s="4" t="s">
        <v>3740</v>
      </c>
      <c r="B409" s="4" t="s">
        <v>3954</v>
      </c>
      <c r="C409" s="4" t="s">
        <v>3952</v>
      </c>
      <c r="D409" s="4" t="s">
        <v>3967</v>
      </c>
      <c r="E409" s="7" t="n">
        <v>2018</v>
      </c>
    </row>
    <row r="410" customFormat="false" ht="15" hidden="false" customHeight="false" outlineLevel="0" collapsed="false">
      <c r="A410" s="4" t="s">
        <v>3748</v>
      </c>
      <c r="B410" s="4" t="s">
        <v>3969</v>
      </c>
      <c r="C410" s="4" t="s">
        <v>3960</v>
      </c>
      <c r="D410" s="4" t="s">
        <v>3970</v>
      </c>
      <c r="E410" s="7" t="n">
        <v>2019</v>
      </c>
    </row>
    <row r="411" customFormat="false" ht="15" hidden="false" customHeight="false" outlineLevel="0" collapsed="false">
      <c r="A411" s="4" t="s">
        <v>3748</v>
      </c>
      <c r="B411" s="4" t="s">
        <v>3954</v>
      </c>
      <c r="C411" s="4" t="s">
        <v>3960</v>
      </c>
      <c r="D411" s="4" t="s">
        <v>3970</v>
      </c>
      <c r="E411" s="7" t="n">
        <v>2021</v>
      </c>
    </row>
    <row r="412" customFormat="false" ht="15" hidden="false" customHeight="false" outlineLevel="0" collapsed="false">
      <c r="A412" s="4" t="s">
        <v>3762</v>
      </c>
      <c r="B412" s="4" t="s">
        <v>3971</v>
      </c>
      <c r="C412" s="4" t="s">
        <v>3975</v>
      </c>
      <c r="D412" s="4" t="s">
        <v>3970</v>
      </c>
      <c r="E412" s="7" t="n">
        <v>2023</v>
      </c>
    </row>
    <row r="413" customFormat="false" ht="15" hidden="false" customHeight="false" outlineLevel="0" collapsed="false">
      <c r="A413" s="4" t="s">
        <v>3762</v>
      </c>
      <c r="B413" s="4" t="s">
        <v>3959</v>
      </c>
      <c r="C413" s="4" t="s">
        <v>3958</v>
      </c>
      <c r="D413" s="4" t="s">
        <v>3967</v>
      </c>
      <c r="E413" s="7" t="n">
        <v>2025</v>
      </c>
    </row>
    <row r="414" customFormat="false" ht="15" hidden="false" customHeight="false" outlineLevel="0" collapsed="false">
      <c r="A414" s="4" t="s">
        <v>3777</v>
      </c>
      <c r="B414" s="4" t="s">
        <v>3973</v>
      </c>
      <c r="C414" s="4" t="s">
        <v>3952</v>
      </c>
      <c r="D414" s="4" t="s">
        <v>3970</v>
      </c>
      <c r="E414" s="7" t="n">
        <v>2021</v>
      </c>
    </row>
    <row r="415" customFormat="false" ht="15" hidden="false" customHeight="false" outlineLevel="0" collapsed="false">
      <c r="A415" s="4" t="s">
        <v>3785</v>
      </c>
      <c r="B415" s="4" t="s">
        <v>3974</v>
      </c>
      <c r="C415" s="4" t="s">
        <v>3960</v>
      </c>
      <c r="D415" s="4" t="s">
        <v>3953</v>
      </c>
      <c r="E415" s="7" t="n">
        <v>2021</v>
      </c>
    </row>
    <row r="416" customFormat="false" ht="15" hidden="false" customHeight="false" outlineLevel="0" collapsed="false">
      <c r="A416" s="4" t="s">
        <v>3800</v>
      </c>
      <c r="B416" s="4" t="s">
        <v>3951</v>
      </c>
      <c r="C416" s="4" t="s">
        <v>3952</v>
      </c>
      <c r="D416" s="4" t="s">
        <v>3970</v>
      </c>
      <c r="E416" s="7" t="n">
        <v>2019</v>
      </c>
    </row>
    <row r="417" customFormat="false" ht="15" hidden="false" customHeight="false" outlineLevel="0" collapsed="false">
      <c r="A417" s="4" t="s">
        <v>3800</v>
      </c>
      <c r="B417" s="4" t="s">
        <v>3965</v>
      </c>
      <c r="C417" s="4" t="s">
        <v>3958</v>
      </c>
      <c r="D417" s="4" t="s">
        <v>3967</v>
      </c>
      <c r="E417" s="7" t="n">
        <v>2018</v>
      </c>
    </row>
    <row r="418" customFormat="false" ht="15" hidden="false" customHeight="false" outlineLevel="0" collapsed="false">
      <c r="A418" s="4" t="s">
        <v>3808</v>
      </c>
      <c r="B418" s="4" t="s">
        <v>3969</v>
      </c>
      <c r="C418" s="4" t="s">
        <v>3958</v>
      </c>
      <c r="D418" s="4" t="s">
        <v>3962</v>
      </c>
      <c r="E418" s="7" t="n">
        <v>2024</v>
      </c>
    </row>
    <row r="419" customFormat="false" ht="15" hidden="false" customHeight="false" outlineLevel="0" collapsed="false">
      <c r="A419" s="4" t="s">
        <v>3815</v>
      </c>
      <c r="B419" s="4" t="s">
        <v>3957</v>
      </c>
      <c r="C419" s="4" t="s">
        <v>3975</v>
      </c>
      <c r="D419" s="4" t="s">
        <v>3964</v>
      </c>
      <c r="E419" s="7" t="n">
        <v>2020</v>
      </c>
    </row>
    <row r="420" customFormat="false" ht="15" hidden="false" customHeight="false" outlineLevel="0" collapsed="false">
      <c r="A420" s="4" t="s">
        <v>3815</v>
      </c>
      <c r="B420" s="4" t="s">
        <v>3974</v>
      </c>
      <c r="C420" s="4" t="s">
        <v>3958</v>
      </c>
      <c r="D420" s="4" t="s">
        <v>3968</v>
      </c>
      <c r="E420" s="7" t="n">
        <v>2019</v>
      </c>
    </row>
    <row r="421" customFormat="false" ht="15" hidden="false" customHeight="false" outlineLevel="0" collapsed="false">
      <c r="A421" s="4" t="s">
        <v>3858</v>
      </c>
      <c r="B421" s="4" t="s">
        <v>3972</v>
      </c>
      <c r="C421" s="4" t="s">
        <v>3960</v>
      </c>
      <c r="D421" s="4" t="s">
        <v>3953</v>
      </c>
      <c r="E421" s="7" t="n">
        <v>2024</v>
      </c>
    </row>
    <row r="422" customFormat="false" ht="15" hidden="false" customHeight="false" outlineLevel="0" collapsed="false">
      <c r="A422" s="4" t="s">
        <v>3858</v>
      </c>
      <c r="B422" s="4" t="s">
        <v>3969</v>
      </c>
      <c r="C422" s="4" t="s">
        <v>3958</v>
      </c>
      <c r="D422" s="4" t="s">
        <v>3968</v>
      </c>
      <c r="E422" s="7" t="n">
        <v>2023</v>
      </c>
    </row>
    <row r="423" customFormat="false" ht="15" hidden="false" customHeight="false" outlineLevel="0" collapsed="false">
      <c r="A423" s="4" t="s">
        <v>3866</v>
      </c>
      <c r="B423" s="4" t="s">
        <v>3966</v>
      </c>
      <c r="C423" s="4" t="s">
        <v>3960</v>
      </c>
      <c r="D423" s="4" t="s">
        <v>3967</v>
      </c>
      <c r="E423" s="7" t="n">
        <v>2016</v>
      </c>
    </row>
    <row r="424" customFormat="false" ht="15" hidden="false" customHeight="false" outlineLevel="0" collapsed="false">
      <c r="A424" s="4" t="s">
        <v>3874</v>
      </c>
      <c r="B424" s="4" t="s">
        <v>3959</v>
      </c>
      <c r="C424" s="4" t="s">
        <v>3975</v>
      </c>
      <c r="D424" s="4" t="s">
        <v>3970</v>
      </c>
      <c r="E424" s="7" t="n"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8" t="s">
        <v>25</v>
      </c>
      <c r="B1" s="8" t="s">
        <v>3978</v>
      </c>
      <c r="C1" s="8" t="s">
        <v>3979</v>
      </c>
      <c r="D1" s="8" t="s">
        <v>3980</v>
      </c>
      <c r="E1" s="8" t="s">
        <v>3981</v>
      </c>
    </row>
    <row r="2" customFormat="false" ht="15" hidden="false" customHeight="false" outlineLevel="0" collapsed="false">
      <c r="A2" s="4" t="s">
        <v>63</v>
      </c>
      <c r="B2" s="4" t="s">
        <v>3982</v>
      </c>
      <c r="C2" s="4" t="s">
        <v>3983</v>
      </c>
      <c r="D2" s="7" t="n">
        <v>2021</v>
      </c>
      <c r="E2" s="4" t="s">
        <v>3984</v>
      </c>
    </row>
    <row r="3" customFormat="false" ht="15" hidden="false" customHeight="false" outlineLevel="0" collapsed="false">
      <c r="A3" s="4" t="s">
        <v>63</v>
      </c>
      <c r="B3" s="4" t="s">
        <v>3985</v>
      </c>
      <c r="C3" s="4" t="s">
        <v>3986</v>
      </c>
      <c r="D3" s="7" t="n">
        <v>2023</v>
      </c>
      <c r="E3" s="4" t="s">
        <v>3987</v>
      </c>
    </row>
    <row r="4" customFormat="false" ht="15" hidden="false" customHeight="false" outlineLevel="0" collapsed="false">
      <c r="A4" s="4" t="s">
        <v>100</v>
      </c>
      <c r="B4" s="4" t="s">
        <v>3988</v>
      </c>
      <c r="C4" s="4" t="s">
        <v>3983</v>
      </c>
      <c r="D4" s="7" t="n">
        <v>2017</v>
      </c>
      <c r="E4" s="4" t="s">
        <v>3984</v>
      </c>
    </row>
    <row r="5" customFormat="false" ht="15" hidden="false" customHeight="false" outlineLevel="0" collapsed="false">
      <c r="A5" s="4" t="s">
        <v>108</v>
      </c>
      <c r="B5" s="4" t="s">
        <v>3989</v>
      </c>
      <c r="C5" s="4" t="s">
        <v>3990</v>
      </c>
      <c r="D5" s="7" t="n">
        <v>2021</v>
      </c>
      <c r="E5" s="4" t="s">
        <v>3984</v>
      </c>
    </row>
    <row r="6" customFormat="false" ht="15" hidden="false" customHeight="false" outlineLevel="0" collapsed="false">
      <c r="A6" s="4" t="s">
        <v>116</v>
      </c>
      <c r="B6" s="4" t="s">
        <v>3991</v>
      </c>
      <c r="C6" s="4" t="s">
        <v>3990</v>
      </c>
      <c r="D6" s="7" t="n">
        <v>2024</v>
      </c>
      <c r="E6" s="4" t="s">
        <v>3992</v>
      </c>
    </row>
    <row r="7" customFormat="false" ht="15" hidden="false" customHeight="false" outlineLevel="0" collapsed="false">
      <c r="A7" s="4" t="s">
        <v>148</v>
      </c>
      <c r="B7" s="4" t="s">
        <v>3982</v>
      </c>
      <c r="C7" s="4" t="s">
        <v>3983</v>
      </c>
      <c r="D7" s="7" t="n">
        <v>2023</v>
      </c>
      <c r="E7" s="4" t="s">
        <v>3993</v>
      </c>
    </row>
    <row r="8" customFormat="false" ht="15" hidden="false" customHeight="false" outlineLevel="0" collapsed="false">
      <c r="A8" s="4" t="s">
        <v>180</v>
      </c>
      <c r="B8" s="4" t="s">
        <v>3994</v>
      </c>
      <c r="C8" s="4" t="s">
        <v>3995</v>
      </c>
      <c r="D8" s="7" t="n">
        <v>2021</v>
      </c>
      <c r="E8" s="4" t="s">
        <v>3996</v>
      </c>
    </row>
    <row r="9" customFormat="false" ht="15" hidden="false" customHeight="false" outlineLevel="0" collapsed="false">
      <c r="A9" s="4" t="s">
        <v>203</v>
      </c>
      <c r="B9" s="4" t="s">
        <v>3997</v>
      </c>
      <c r="C9" s="4" t="s">
        <v>3998</v>
      </c>
      <c r="D9" s="7" t="n">
        <v>2022</v>
      </c>
      <c r="E9" s="4" t="s">
        <v>3996</v>
      </c>
    </row>
    <row r="10" customFormat="false" ht="15" hidden="false" customHeight="false" outlineLevel="0" collapsed="false">
      <c r="A10" s="4" t="s">
        <v>243</v>
      </c>
      <c r="B10" s="4" t="s">
        <v>3999</v>
      </c>
      <c r="C10" s="4" t="s">
        <v>4000</v>
      </c>
      <c r="D10" s="7" t="n">
        <v>2019</v>
      </c>
      <c r="E10" s="4" t="s">
        <v>3987</v>
      </c>
    </row>
    <row r="11" customFormat="false" ht="15" hidden="false" customHeight="false" outlineLevel="0" collapsed="false">
      <c r="A11" s="4" t="s">
        <v>259</v>
      </c>
      <c r="B11" s="4" t="s">
        <v>4001</v>
      </c>
      <c r="C11" s="4" t="s">
        <v>4002</v>
      </c>
      <c r="D11" s="7" t="n">
        <v>2018</v>
      </c>
      <c r="E11" s="4" t="s">
        <v>4003</v>
      </c>
    </row>
    <row r="12" customFormat="false" ht="15" hidden="false" customHeight="false" outlineLevel="0" collapsed="false">
      <c r="A12" s="4" t="s">
        <v>282</v>
      </c>
      <c r="B12" s="4" t="s">
        <v>3989</v>
      </c>
      <c r="C12" s="4" t="s">
        <v>3990</v>
      </c>
      <c r="D12" s="7" t="n">
        <v>2021</v>
      </c>
      <c r="E12" s="4" t="s">
        <v>3992</v>
      </c>
    </row>
    <row r="13" customFormat="false" ht="15" hidden="false" customHeight="false" outlineLevel="0" collapsed="false">
      <c r="A13" s="4" t="s">
        <v>312</v>
      </c>
      <c r="B13" s="4" t="s">
        <v>3985</v>
      </c>
      <c r="C13" s="4" t="s">
        <v>3986</v>
      </c>
      <c r="D13" s="7" t="n">
        <v>2021</v>
      </c>
      <c r="E13" s="4" t="s">
        <v>4004</v>
      </c>
    </row>
    <row r="14" customFormat="false" ht="15" hidden="false" customHeight="false" outlineLevel="0" collapsed="false">
      <c r="A14" s="4" t="s">
        <v>336</v>
      </c>
      <c r="B14" s="4" t="s">
        <v>3985</v>
      </c>
      <c r="C14" s="4" t="s">
        <v>3986</v>
      </c>
      <c r="D14" s="7" t="n">
        <v>2018</v>
      </c>
      <c r="E14" s="4" t="s">
        <v>4005</v>
      </c>
    </row>
    <row r="15" customFormat="false" ht="15" hidden="false" customHeight="false" outlineLevel="0" collapsed="false">
      <c r="A15" s="4" t="s">
        <v>336</v>
      </c>
      <c r="B15" s="4" t="s">
        <v>4006</v>
      </c>
      <c r="C15" s="4" t="s">
        <v>3998</v>
      </c>
      <c r="D15" s="7" t="n">
        <v>2018</v>
      </c>
      <c r="E15" s="4" t="s">
        <v>4007</v>
      </c>
    </row>
    <row r="16" customFormat="false" ht="15" hidden="false" customHeight="false" outlineLevel="0" collapsed="false">
      <c r="A16" s="4" t="s">
        <v>352</v>
      </c>
      <c r="B16" s="4" t="s">
        <v>4008</v>
      </c>
      <c r="C16" s="4" t="s">
        <v>4000</v>
      </c>
      <c r="D16" s="7" t="n">
        <v>2020</v>
      </c>
      <c r="E16" s="4" t="s">
        <v>4004</v>
      </c>
    </row>
    <row r="17" customFormat="false" ht="15" hidden="false" customHeight="false" outlineLevel="0" collapsed="false">
      <c r="A17" s="4" t="s">
        <v>360</v>
      </c>
      <c r="B17" s="4" t="s">
        <v>3982</v>
      </c>
      <c r="C17" s="4" t="s">
        <v>3983</v>
      </c>
      <c r="D17" s="7" t="n">
        <v>2018</v>
      </c>
      <c r="E17" s="4" t="s">
        <v>3987</v>
      </c>
    </row>
    <row r="18" customFormat="false" ht="15" hidden="false" customHeight="false" outlineLevel="0" collapsed="false">
      <c r="A18" s="4" t="s">
        <v>384</v>
      </c>
      <c r="B18" s="4" t="s">
        <v>4009</v>
      </c>
      <c r="C18" s="4" t="s">
        <v>4000</v>
      </c>
      <c r="D18" s="7" t="n">
        <v>2024</v>
      </c>
      <c r="E18" s="4" t="s">
        <v>4004</v>
      </c>
    </row>
    <row r="19" customFormat="false" ht="15" hidden="false" customHeight="false" outlineLevel="0" collapsed="false">
      <c r="A19" s="4" t="s">
        <v>392</v>
      </c>
      <c r="B19" s="4" t="s">
        <v>4010</v>
      </c>
      <c r="C19" s="4" t="s">
        <v>3998</v>
      </c>
      <c r="D19" s="7" t="n">
        <v>2023</v>
      </c>
      <c r="E19" s="4" t="s">
        <v>3987</v>
      </c>
    </row>
    <row r="20" customFormat="false" ht="15" hidden="false" customHeight="false" outlineLevel="0" collapsed="false">
      <c r="A20" s="4" t="s">
        <v>408</v>
      </c>
      <c r="B20" s="4" t="s">
        <v>4011</v>
      </c>
      <c r="C20" s="4" t="s">
        <v>4000</v>
      </c>
      <c r="D20" s="7" t="n">
        <v>2023</v>
      </c>
      <c r="E20" s="4" t="s">
        <v>4004</v>
      </c>
    </row>
    <row r="21" customFormat="false" ht="15" hidden="false" customHeight="false" outlineLevel="0" collapsed="false">
      <c r="A21" s="4" t="s">
        <v>408</v>
      </c>
      <c r="B21" s="4" t="s">
        <v>4001</v>
      </c>
      <c r="C21" s="4" t="s">
        <v>4002</v>
      </c>
      <c r="D21" s="7" t="n">
        <v>2023</v>
      </c>
      <c r="E21" s="4" t="s">
        <v>3992</v>
      </c>
    </row>
    <row r="22" customFormat="false" ht="15" hidden="false" customHeight="false" outlineLevel="0" collapsed="false">
      <c r="A22" s="4" t="s">
        <v>424</v>
      </c>
      <c r="B22" s="4" t="s">
        <v>4012</v>
      </c>
      <c r="C22" s="4" t="s">
        <v>3986</v>
      </c>
      <c r="D22" s="7" t="n">
        <v>2018</v>
      </c>
      <c r="E22" s="4" t="s">
        <v>4004</v>
      </c>
    </row>
    <row r="23" customFormat="false" ht="15" hidden="false" customHeight="false" outlineLevel="0" collapsed="false">
      <c r="A23" s="4" t="s">
        <v>432</v>
      </c>
      <c r="B23" s="4" t="s">
        <v>3994</v>
      </c>
      <c r="C23" s="4" t="s">
        <v>3995</v>
      </c>
      <c r="D23" s="7" t="n">
        <v>2019</v>
      </c>
      <c r="E23" s="4" t="s">
        <v>3984</v>
      </c>
    </row>
    <row r="24" customFormat="false" ht="15" hidden="false" customHeight="false" outlineLevel="0" collapsed="false">
      <c r="A24" s="4" t="s">
        <v>440</v>
      </c>
      <c r="B24" s="4" t="s">
        <v>4013</v>
      </c>
      <c r="C24" s="4" t="s">
        <v>3998</v>
      </c>
      <c r="D24" s="7" t="n">
        <v>2024</v>
      </c>
      <c r="E24" s="4" t="s">
        <v>3992</v>
      </c>
    </row>
    <row r="25" customFormat="false" ht="15" hidden="false" customHeight="false" outlineLevel="0" collapsed="false">
      <c r="A25" s="4" t="s">
        <v>464</v>
      </c>
      <c r="B25" s="4" t="s">
        <v>4014</v>
      </c>
      <c r="C25" s="4" t="s">
        <v>4000</v>
      </c>
      <c r="D25" s="7" t="n">
        <v>2019</v>
      </c>
      <c r="E25" s="4" t="s">
        <v>3993</v>
      </c>
    </row>
    <row r="26" customFormat="false" ht="15" hidden="false" customHeight="false" outlineLevel="0" collapsed="false">
      <c r="A26" s="4" t="s">
        <v>464</v>
      </c>
      <c r="B26" s="4" t="s">
        <v>3991</v>
      </c>
      <c r="C26" s="4" t="s">
        <v>3990</v>
      </c>
      <c r="D26" s="7" t="n">
        <v>2022</v>
      </c>
      <c r="E26" s="4" t="s">
        <v>3992</v>
      </c>
    </row>
    <row r="27" customFormat="false" ht="15" hidden="false" customHeight="false" outlineLevel="0" collapsed="false">
      <c r="A27" s="4" t="s">
        <v>472</v>
      </c>
      <c r="B27" s="4" t="s">
        <v>4001</v>
      </c>
      <c r="C27" s="4" t="s">
        <v>4002</v>
      </c>
      <c r="D27" s="7" t="n">
        <v>2019</v>
      </c>
      <c r="E27" s="4" t="s">
        <v>4007</v>
      </c>
    </row>
    <row r="28" customFormat="false" ht="15" hidden="false" customHeight="false" outlineLevel="0" collapsed="false">
      <c r="A28" s="4" t="s">
        <v>488</v>
      </c>
      <c r="B28" s="4" t="s">
        <v>3988</v>
      </c>
      <c r="C28" s="4" t="s">
        <v>3983</v>
      </c>
      <c r="D28" s="7" t="n">
        <v>2021</v>
      </c>
      <c r="E28" s="4" t="s">
        <v>3996</v>
      </c>
    </row>
    <row r="29" customFormat="false" ht="15" hidden="false" customHeight="false" outlineLevel="0" collapsed="false">
      <c r="A29" s="4" t="s">
        <v>496</v>
      </c>
      <c r="B29" s="4" t="s">
        <v>4013</v>
      </c>
      <c r="C29" s="4" t="s">
        <v>3998</v>
      </c>
      <c r="D29" s="7" t="n">
        <v>2020</v>
      </c>
      <c r="E29" s="4" t="s">
        <v>4004</v>
      </c>
    </row>
    <row r="30" customFormat="false" ht="15" hidden="false" customHeight="false" outlineLevel="0" collapsed="false">
      <c r="A30" s="4" t="s">
        <v>504</v>
      </c>
      <c r="B30" s="4" t="s">
        <v>3994</v>
      </c>
      <c r="C30" s="4" t="s">
        <v>3995</v>
      </c>
      <c r="D30" s="7" t="n">
        <v>2018</v>
      </c>
      <c r="E30" s="4" t="s">
        <v>3993</v>
      </c>
    </row>
    <row r="31" customFormat="false" ht="15" hidden="false" customHeight="false" outlineLevel="0" collapsed="false">
      <c r="A31" s="4" t="s">
        <v>512</v>
      </c>
      <c r="B31" s="4" t="s">
        <v>3982</v>
      </c>
      <c r="C31" s="4" t="s">
        <v>3983</v>
      </c>
      <c r="D31" s="7" t="n">
        <v>2019</v>
      </c>
      <c r="E31" s="4" t="s">
        <v>3996</v>
      </c>
    </row>
    <row r="32" customFormat="false" ht="15" hidden="false" customHeight="false" outlineLevel="0" collapsed="false">
      <c r="A32" s="4" t="s">
        <v>519</v>
      </c>
      <c r="B32" s="4" t="s">
        <v>4011</v>
      </c>
      <c r="C32" s="4" t="s">
        <v>4000</v>
      </c>
      <c r="D32" s="7" t="n">
        <v>2021</v>
      </c>
      <c r="E32" s="4" t="s">
        <v>4007</v>
      </c>
    </row>
    <row r="33" customFormat="false" ht="15" hidden="false" customHeight="false" outlineLevel="0" collapsed="false">
      <c r="A33" s="4" t="s">
        <v>535</v>
      </c>
      <c r="B33" s="4" t="s">
        <v>4001</v>
      </c>
      <c r="C33" s="4" t="s">
        <v>4002</v>
      </c>
      <c r="D33" s="7" t="n">
        <v>2023</v>
      </c>
      <c r="E33" s="4" t="s">
        <v>4005</v>
      </c>
    </row>
    <row r="34" customFormat="false" ht="15" hidden="false" customHeight="false" outlineLevel="0" collapsed="false">
      <c r="A34" s="4" t="s">
        <v>535</v>
      </c>
      <c r="B34" s="4" t="s">
        <v>4006</v>
      </c>
      <c r="C34" s="4" t="s">
        <v>3998</v>
      </c>
      <c r="D34" s="7" t="n">
        <v>2020</v>
      </c>
      <c r="E34" s="4" t="s">
        <v>4003</v>
      </c>
    </row>
    <row r="35" customFormat="false" ht="15" hidden="false" customHeight="false" outlineLevel="0" collapsed="false">
      <c r="A35" s="4" t="s">
        <v>542</v>
      </c>
      <c r="B35" s="4" t="s">
        <v>3994</v>
      </c>
      <c r="C35" s="4" t="s">
        <v>3995</v>
      </c>
      <c r="D35" s="7" t="n">
        <v>2020</v>
      </c>
      <c r="E35" s="4" t="s">
        <v>3996</v>
      </c>
    </row>
    <row r="36" customFormat="false" ht="15" hidden="false" customHeight="false" outlineLevel="0" collapsed="false">
      <c r="A36" s="4" t="s">
        <v>542</v>
      </c>
      <c r="B36" s="4" t="s">
        <v>3999</v>
      </c>
      <c r="C36" s="4" t="s">
        <v>4000</v>
      </c>
      <c r="D36" s="7" t="n">
        <v>2019</v>
      </c>
      <c r="E36" s="4" t="s">
        <v>3987</v>
      </c>
    </row>
    <row r="37" customFormat="false" ht="15" hidden="false" customHeight="false" outlineLevel="0" collapsed="false">
      <c r="A37" s="4" t="s">
        <v>550</v>
      </c>
      <c r="B37" s="4" t="s">
        <v>4013</v>
      </c>
      <c r="C37" s="4" t="s">
        <v>3998</v>
      </c>
      <c r="D37" s="7" t="n">
        <v>2018</v>
      </c>
      <c r="E37" s="4" t="s">
        <v>3992</v>
      </c>
    </row>
    <row r="38" customFormat="false" ht="15" hidden="false" customHeight="false" outlineLevel="0" collapsed="false">
      <c r="A38" s="4" t="s">
        <v>565</v>
      </c>
      <c r="B38" s="4" t="s">
        <v>4015</v>
      </c>
      <c r="C38" s="4" t="s">
        <v>3986</v>
      </c>
      <c r="D38" s="7" t="n">
        <v>2020</v>
      </c>
      <c r="E38" s="4" t="s">
        <v>4003</v>
      </c>
    </row>
    <row r="39" customFormat="false" ht="15" hidden="false" customHeight="false" outlineLevel="0" collapsed="false">
      <c r="A39" s="4" t="s">
        <v>573</v>
      </c>
      <c r="B39" s="4" t="s">
        <v>4010</v>
      </c>
      <c r="C39" s="4" t="s">
        <v>3998</v>
      </c>
      <c r="D39" s="7" t="n">
        <v>2022</v>
      </c>
      <c r="E39" s="4" t="s">
        <v>3996</v>
      </c>
    </row>
    <row r="40" customFormat="false" ht="15" hidden="false" customHeight="false" outlineLevel="0" collapsed="false">
      <c r="A40" s="4" t="s">
        <v>581</v>
      </c>
      <c r="B40" s="4" t="s">
        <v>4014</v>
      </c>
      <c r="C40" s="4" t="s">
        <v>4000</v>
      </c>
      <c r="D40" s="7" t="n">
        <v>2019</v>
      </c>
      <c r="E40" s="4" t="s">
        <v>3992</v>
      </c>
    </row>
    <row r="41" customFormat="false" ht="15" hidden="false" customHeight="false" outlineLevel="0" collapsed="false">
      <c r="A41" s="4" t="s">
        <v>589</v>
      </c>
      <c r="B41" s="4" t="s">
        <v>4016</v>
      </c>
      <c r="C41" s="4" t="s">
        <v>3990</v>
      </c>
      <c r="D41" s="7" t="n">
        <v>2020</v>
      </c>
      <c r="E41" s="4" t="s">
        <v>3984</v>
      </c>
    </row>
    <row r="42" customFormat="false" ht="15" hidden="false" customHeight="false" outlineLevel="0" collapsed="false">
      <c r="A42" s="4" t="s">
        <v>605</v>
      </c>
      <c r="B42" s="4" t="s">
        <v>3982</v>
      </c>
      <c r="C42" s="4" t="s">
        <v>3983</v>
      </c>
      <c r="D42" s="7" t="n">
        <v>2021</v>
      </c>
      <c r="E42" s="4" t="s">
        <v>3993</v>
      </c>
    </row>
    <row r="43" customFormat="false" ht="15" hidden="false" customHeight="false" outlineLevel="0" collapsed="false">
      <c r="A43" s="4" t="s">
        <v>629</v>
      </c>
      <c r="B43" s="4" t="s">
        <v>3994</v>
      </c>
      <c r="C43" s="4" t="s">
        <v>3995</v>
      </c>
      <c r="D43" s="7" t="n">
        <v>2022</v>
      </c>
      <c r="E43" s="4" t="s">
        <v>4004</v>
      </c>
    </row>
    <row r="44" customFormat="false" ht="15" hidden="false" customHeight="false" outlineLevel="0" collapsed="false">
      <c r="A44" s="4" t="s">
        <v>629</v>
      </c>
      <c r="B44" s="4" t="s">
        <v>4017</v>
      </c>
      <c r="C44" s="4" t="s">
        <v>3983</v>
      </c>
      <c r="D44" s="7" t="n">
        <v>2022</v>
      </c>
      <c r="E44" s="4" t="s">
        <v>3996</v>
      </c>
    </row>
    <row r="45" customFormat="false" ht="15" hidden="false" customHeight="false" outlineLevel="0" collapsed="false">
      <c r="A45" s="4" t="s">
        <v>645</v>
      </c>
      <c r="B45" s="4" t="s">
        <v>4008</v>
      </c>
      <c r="C45" s="4" t="s">
        <v>4000</v>
      </c>
      <c r="D45" s="7" t="n">
        <v>2022</v>
      </c>
      <c r="E45" s="4" t="s">
        <v>3996</v>
      </c>
    </row>
    <row r="46" customFormat="false" ht="15" hidden="false" customHeight="false" outlineLevel="0" collapsed="false">
      <c r="A46" s="4" t="s">
        <v>660</v>
      </c>
      <c r="B46" s="4" t="s">
        <v>4001</v>
      </c>
      <c r="C46" s="4" t="s">
        <v>4002</v>
      </c>
      <c r="D46" s="7" t="n">
        <v>2023</v>
      </c>
      <c r="E46" s="4" t="s">
        <v>4007</v>
      </c>
    </row>
    <row r="47" customFormat="false" ht="15" hidden="false" customHeight="false" outlineLevel="0" collapsed="false">
      <c r="A47" s="4" t="s">
        <v>660</v>
      </c>
      <c r="B47" s="4" t="s">
        <v>3999</v>
      </c>
      <c r="C47" s="4" t="s">
        <v>4000</v>
      </c>
      <c r="D47" s="7" t="n">
        <v>2021</v>
      </c>
      <c r="E47" s="4" t="s">
        <v>3984</v>
      </c>
    </row>
    <row r="48" customFormat="false" ht="15" hidden="false" customHeight="false" outlineLevel="0" collapsed="false">
      <c r="A48" s="4" t="s">
        <v>692</v>
      </c>
      <c r="B48" s="4" t="s">
        <v>4001</v>
      </c>
      <c r="C48" s="4" t="s">
        <v>4002</v>
      </c>
      <c r="D48" s="7" t="n">
        <v>2019</v>
      </c>
      <c r="E48" s="4" t="s">
        <v>3992</v>
      </c>
    </row>
    <row r="49" customFormat="false" ht="15" hidden="false" customHeight="false" outlineLevel="0" collapsed="false">
      <c r="A49" s="4" t="s">
        <v>700</v>
      </c>
      <c r="B49" s="4" t="s">
        <v>4011</v>
      </c>
      <c r="C49" s="4" t="s">
        <v>4000</v>
      </c>
      <c r="D49" s="7" t="n">
        <v>2023</v>
      </c>
      <c r="E49" s="4" t="s">
        <v>3987</v>
      </c>
    </row>
    <row r="50" customFormat="false" ht="15" hidden="false" customHeight="false" outlineLevel="0" collapsed="false">
      <c r="A50" s="4" t="s">
        <v>716</v>
      </c>
      <c r="B50" s="4" t="s">
        <v>4016</v>
      </c>
      <c r="C50" s="4" t="s">
        <v>3990</v>
      </c>
      <c r="D50" s="7" t="n">
        <v>2022</v>
      </c>
      <c r="E50" s="4" t="s">
        <v>4005</v>
      </c>
    </row>
    <row r="51" customFormat="false" ht="15" hidden="false" customHeight="false" outlineLevel="0" collapsed="false">
      <c r="A51" s="4" t="s">
        <v>740</v>
      </c>
      <c r="B51" s="4" t="s">
        <v>3982</v>
      </c>
      <c r="C51" s="4" t="s">
        <v>3983</v>
      </c>
      <c r="D51" s="7" t="n">
        <v>2019</v>
      </c>
      <c r="E51" s="4" t="s">
        <v>4004</v>
      </c>
    </row>
    <row r="52" customFormat="false" ht="15" hidden="false" customHeight="false" outlineLevel="0" collapsed="false">
      <c r="A52" s="4" t="s">
        <v>748</v>
      </c>
      <c r="B52" s="4" t="s">
        <v>4001</v>
      </c>
      <c r="C52" s="4" t="s">
        <v>4002</v>
      </c>
      <c r="D52" s="7" t="n">
        <v>2022</v>
      </c>
      <c r="E52" s="4" t="s">
        <v>4005</v>
      </c>
    </row>
    <row r="53" customFormat="false" ht="15" hidden="false" customHeight="false" outlineLevel="0" collapsed="false">
      <c r="A53" s="4" t="s">
        <v>748</v>
      </c>
      <c r="B53" s="4" t="s">
        <v>4012</v>
      </c>
      <c r="C53" s="4" t="s">
        <v>3986</v>
      </c>
      <c r="D53" s="7" t="n">
        <v>2021</v>
      </c>
      <c r="E53" s="4" t="s">
        <v>3993</v>
      </c>
    </row>
    <row r="54" customFormat="false" ht="15" hidden="false" customHeight="false" outlineLevel="0" collapsed="false">
      <c r="A54" s="4" t="s">
        <v>756</v>
      </c>
      <c r="B54" s="4" t="s">
        <v>4018</v>
      </c>
      <c r="C54" s="4" t="s">
        <v>3986</v>
      </c>
      <c r="D54" s="7" t="n">
        <v>2021</v>
      </c>
      <c r="E54" s="4" t="s">
        <v>4003</v>
      </c>
    </row>
    <row r="55" customFormat="false" ht="15" hidden="false" customHeight="false" outlineLevel="0" collapsed="false">
      <c r="A55" s="4" t="s">
        <v>788</v>
      </c>
      <c r="B55" s="4" t="s">
        <v>4014</v>
      </c>
      <c r="C55" s="4" t="s">
        <v>4000</v>
      </c>
      <c r="D55" s="7" t="n">
        <v>2022</v>
      </c>
      <c r="E55" s="4" t="s">
        <v>4004</v>
      </c>
    </row>
    <row r="56" customFormat="false" ht="15" hidden="false" customHeight="false" outlineLevel="0" collapsed="false">
      <c r="A56" s="4" t="s">
        <v>803</v>
      </c>
      <c r="B56" s="4" t="s">
        <v>4001</v>
      </c>
      <c r="C56" s="4" t="s">
        <v>4002</v>
      </c>
      <c r="D56" s="7" t="n">
        <v>2022</v>
      </c>
      <c r="E56" s="4" t="s">
        <v>3996</v>
      </c>
    </row>
    <row r="57" customFormat="false" ht="15" hidden="false" customHeight="false" outlineLevel="0" collapsed="false">
      <c r="A57" s="4" t="s">
        <v>827</v>
      </c>
      <c r="B57" s="4" t="s">
        <v>4001</v>
      </c>
      <c r="C57" s="4" t="s">
        <v>4002</v>
      </c>
      <c r="D57" s="7" t="n">
        <v>2023</v>
      </c>
      <c r="E57" s="4" t="s">
        <v>3987</v>
      </c>
    </row>
    <row r="58" customFormat="false" ht="15" hidden="false" customHeight="false" outlineLevel="0" collapsed="false">
      <c r="A58" s="4" t="s">
        <v>843</v>
      </c>
      <c r="B58" s="4" t="s">
        <v>4016</v>
      </c>
      <c r="C58" s="4" t="s">
        <v>3990</v>
      </c>
      <c r="D58" s="7" t="n">
        <v>2019</v>
      </c>
      <c r="E58" s="4" t="s">
        <v>3996</v>
      </c>
    </row>
    <row r="59" customFormat="false" ht="15" hidden="false" customHeight="false" outlineLevel="0" collapsed="false">
      <c r="A59" s="4" t="s">
        <v>866</v>
      </c>
      <c r="B59" s="4" t="s">
        <v>4016</v>
      </c>
      <c r="C59" s="4" t="s">
        <v>3990</v>
      </c>
      <c r="D59" s="7" t="n">
        <v>2021</v>
      </c>
      <c r="E59" s="4" t="s">
        <v>4007</v>
      </c>
    </row>
    <row r="60" customFormat="false" ht="15" hidden="false" customHeight="false" outlineLevel="0" collapsed="false">
      <c r="A60" s="4" t="s">
        <v>866</v>
      </c>
      <c r="B60" s="4" t="s">
        <v>3994</v>
      </c>
      <c r="C60" s="4" t="s">
        <v>3995</v>
      </c>
      <c r="D60" s="7" t="n">
        <v>2025</v>
      </c>
      <c r="E60" s="4" t="s">
        <v>3992</v>
      </c>
    </row>
    <row r="61" customFormat="false" ht="15" hidden="false" customHeight="false" outlineLevel="0" collapsed="false">
      <c r="A61" s="4" t="s">
        <v>874</v>
      </c>
      <c r="B61" s="4" t="s">
        <v>3994</v>
      </c>
      <c r="C61" s="4" t="s">
        <v>3995</v>
      </c>
      <c r="D61" s="7" t="n">
        <v>2022</v>
      </c>
      <c r="E61" s="4" t="s">
        <v>3993</v>
      </c>
    </row>
    <row r="62" customFormat="false" ht="15" hidden="false" customHeight="false" outlineLevel="0" collapsed="false">
      <c r="A62" s="4" t="s">
        <v>898</v>
      </c>
      <c r="B62" s="4" t="s">
        <v>4012</v>
      </c>
      <c r="C62" s="4" t="s">
        <v>3986</v>
      </c>
      <c r="D62" s="7" t="n">
        <v>2020</v>
      </c>
      <c r="E62" s="4" t="s">
        <v>3993</v>
      </c>
    </row>
    <row r="63" customFormat="false" ht="15" hidden="false" customHeight="false" outlineLevel="0" collapsed="false">
      <c r="A63" s="4" t="s">
        <v>898</v>
      </c>
      <c r="B63" s="4" t="s">
        <v>4009</v>
      </c>
      <c r="C63" s="4" t="s">
        <v>4000</v>
      </c>
      <c r="D63" s="7" t="n">
        <v>2018</v>
      </c>
      <c r="E63" s="4" t="s">
        <v>3993</v>
      </c>
    </row>
    <row r="64" customFormat="false" ht="15" hidden="false" customHeight="false" outlineLevel="0" collapsed="false">
      <c r="A64" s="4" t="s">
        <v>906</v>
      </c>
      <c r="B64" s="4" t="s">
        <v>4016</v>
      </c>
      <c r="C64" s="4" t="s">
        <v>3990</v>
      </c>
      <c r="D64" s="7" t="n">
        <v>2024</v>
      </c>
      <c r="E64" s="4" t="s">
        <v>4003</v>
      </c>
    </row>
    <row r="65" customFormat="false" ht="15" hidden="false" customHeight="false" outlineLevel="0" collapsed="false">
      <c r="A65" s="4" t="s">
        <v>929</v>
      </c>
      <c r="B65" s="4" t="s">
        <v>4011</v>
      </c>
      <c r="C65" s="4" t="s">
        <v>4000</v>
      </c>
      <c r="D65" s="7" t="n">
        <v>2019</v>
      </c>
      <c r="E65" s="4" t="s">
        <v>4005</v>
      </c>
    </row>
    <row r="66" customFormat="false" ht="15" hidden="false" customHeight="false" outlineLevel="0" collapsed="false">
      <c r="A66" s="4" t="s">
        <v>936</v>
      </c>
      <c r="B66" s="4" t="s">
        <v>4001</v>
      </c>
      <c r="C66" s="4" t="s">
        <v>4002</v>
      </c>
      <c r="D66" s="7" t="n">
        <v>2021</v>
      </c>
      <c r="E66" s="4" t="s">
        <v>4007</v>
      </c>
    </row>
    <row r="67" customFormat="false" ht="15" hidden="false" customHeight="false" outlineLevel="0" collapsed="false">
      <c r="A67" s="4" t="s">
        <v>975</v>
      </c>
      <c r="B67" s="4" t="s">
        <v>4008</v>
      </c>
      <c r="C67" s="4" t="s">
        <v>4000</v>
      </c>
      <c r="D67" s="7" t="n">
        <v>2024</v>
      </c>
      <c r="E67" s="4" t="s">
        <v>4003</v>
      </c>
    </row>
    <row r="68" customFormat="false" ht="15" hidden="false" customHeight="false" outlineLevel="0" collapsed="false">
      <c r="A68" s="4" t="s">
        <v>990</v>
      </c>
      <c r="B68" s="4" t="s">
        <v>3982</v>
      </c>
      <c r="C68" s="4" t="s">
        <v>3983</v>
      </c>
      <c r="D68" s="7" t="n">
        <v>2025</v>
      </c>
      <c r="E68" s="4" t="s">
        <v>3987</v>
      </c>
    </row>
    <row r="69" customFormat="false" ht="15" hidden="false" customHeight="false" outlineLevel="0" collapsed="false">
      <c r="A69" s="4" t="s">
        <v>998</v>
      </c>
      <c r="B69" s="4" t="s">
        <v>3988</v>
      </c>
      <c r="C69" s="4" t="s">
        <v>3983</v>
      </c>
      <c r="D69" s="7" t="n">
        <v>2025</v>
      </c>
      <c r="E69" s="4" t="s">
        <v>4007</v>
      </c>
    </row>
    <row r="70" customFormat="false" ht="15" hidden="false" customHeight="false" outlineLevel="0" collapsed="false">
      <c r="A70" s="4" t="s">
        <v>1078</v>
      </c>
      <c r="B70" s="4" t="s">
        <v>4019</v>
      </c>
      <c r="C70" s="4" t="s">
        <v>3983</v>
      </c>
      <c r="D70" s="7" t="n">
        <v>2020</v>
      </c>
      <c r="E70" s="4" t="s">
        <v>3984</v>
      </c>
    </row>
    <row r="71" customFormat="false" ht="15" hidden="false" customHeight="false" outlineLevel="0" collapsed="false">
      <c r="A71" s="4" t="s">
        <v>1078</v>
      </c>
      <c r="B71" s="4" t="s">
        <v>4001</v>
      </c>
      <c r="C71" s="4" t="s">
        <v>4002</v>
      </c>
      <c r="D71" s="7" t="n">
        <v>2022</v>
      </c>
      <c r="E71" s="4" t="s">
        <v>4003</v>
      </c>
    </row>
    <row r="72" customFormat="false" ht="15" hidden="false" customHeight="false" outlineLevel="0" collapsed="false">
      <c r="A72" s="4" t="s">
        <v>1102</v>
      </c>
      <c r="B72" s="4" t="s">
        <v>4001</v>
      </c>
      <c r="C72" s="4" t="s">
        <v>4002</v>
      </c>
      <c r="D72" s="7" t="n">
        <v>2017</v>
      </c>
      <c r="E72" s="4" t="s">
        <v>3992</v>
      </c>
    </row>
    <row r="73" customFormat="false" ht="15" hidden="false" customHeight="false" outlineLevel="0" collapsed="false">
      <c r="A73" s="4" t="s">
        <v>1118</v>
      </c>
      <c r="B73" s="4" t="s">
        <v>4016</v>
      </c>
      <c r="C73" s="4" t="s">
        <v>3990</v>
      </c>
      <c r="D73" s="7" t="n">
        <v>2024</v>
      </c>
      <c r="E73" s="4" t="s">
        <v>4004</v>
      </c>
    </row>
    <row r="74" customFormat="false" ht="15" hidden="false" customHeight="false" outlineLevel="0" collapsed="false">
      <c r="A74" s="4" t="s">
        <v>1126</v>
      </c>
      <c r="B74" s="4" t="s">
        <v>3994</v>
      </c>
      <c r="C74" s="4" t="s">
        <v>3995</v>
      </c>
      <c r="D74" s="7" t="n">
        <v>2019</v>
      </c>
      <c r="E74" s="4" t="s">
        <v>3992</v>
      </c>
    </row>
    <row r="75" customFormat="false" ht="15" hidden="false" customHeight="false" outlineLevel="0" collapsed="false">
      <c r="A75" s="4" t="s">
        <v>1165</v>
      </c>
      <c r="B75" s="4" t="s">
        <v>3991</v>
      </c>
      <c r="C75" s="4" t="s">
        <v>3990</v>
      </c>
      <c r="D75" s="7" t="n">
        <v>2024</v>
      </c>
      <c r="E75" s="4" t="s">
        <v>4004</v>
      </c>
    </row>
    <row r="76" customFormat="false" ht="15" hidden="false" customHeight="false" outlineLevel="0" collapsed="false">
      <c r="A76" s="4" t="s">
        <v>1180</v>
      </c>
      <c r="B76" s="4" t="s">
        <v>3982</v>
      </c>
      <c r="C76" s="4" t="s">
        <v>3983</v>
      </c>
      <c r="D76" s="7" t="n">
        <v>2022</v>
      </c>
      <c r="E76" s="4" t="s">
        <v>3996</v>
      </c>
    </row>
    <row r="77" customFormat="false" ht="15" hidden="false" customHeight="false" outlineLevel="0" collapsed="false">
      <c r="A77" s="4" t="s">
        <v>1180</v>
      </c>
      <c r="B77" s="4" t="s">
        <v>3994</v>
      </c>
      <c r="C77" s="4" t="s">
        <v>3995</v>
      </c>
      <c r="D77" s="7" t="n">
        <v>2020</v>
      </c>
      <c r="E77" s="4" t="s">
        <v>4003</v>
      </c>
    </row>
    <row r="78" customFormat="false" ht="15" hidden="false" customHeight="false" outlineLevel="0" collapsed="false">
      <c r="A78" s="4" t="s">
        <v>1195</v>
      </c>
      <c r="B78" s="4" t="s">
        <v>3994</v>
      </c>
      <c r="C78" s="4" t="s">
        <v>3995</v>
      </c>
      <c r="D78" s="7" t="n">
        <v>2021</v>
      </c>
      <c r="E78" s="4" t="s">
        <v>4005</v>
      </c>
    </row>
    <row r="79" customFormat="false" ht="15" hidden="false" customHeight="false" outlineLevel="0" collapsed="false">
      <c r="A79" s="4" t="s">
        <v>1211</v>
      </c>
      <c r="B79" s="4" t="s">
        <v>3994</v>
      </c>
      <c r="C79" s="4" t="s">
        <v>3995</v>
      </c>
      <c r="D79" s="7" t="n">
        <v>2021</v>
      </c>
      <c r="E79" s="4" t="s">
        <v>4003</v>
      </c>
    </row>
    <row r="80" customFormat="false" ht="15" hidden="false" customHeight="false" outlineLevel="0" collapsed="false">
      <c r="A80" s="4" t="s">
        <v>1259</v>
      </c>
      <c r="B80" s="4" t="s">
        <v>4017</v>
      </c>
      <c r="C80" s="4" t="s">
        <v>3983</v>
      </c>
      <c r="D80" s="7" t="n">
        <v>2017</v>
      </c>
      <c r="E80" s="4" t="s">
        <v>4007</v>
      </c>
    </row>
    <row r="81" customFormat="false" ht="15" hidden="false" customHeight="false" outlineLevel="0" collapsed="false">
      <c r="A81" s="4" t="s">
        <v>1267</v>
      </c>
      <c r="B81" s="4" t="s">
        <v>4014</v>
      </c>
      <c r="C81" s="4" t="s">
        <v>4000</v>
      </c>
      <c r="D81" s="7" t="n">
        <v>2021</v>
      </c>
      <c r="E81" s="4" t="s">
        <v>3993</v>
      </c>
    </row>
    <row r="82" customFormat="false" ht="15" hidden="false" customHeight="false" outlineLevel="0" collapsed="false">
      <c r="A82" s="4" t="s">
        <v>1282</v>
      </c>
      <c r="B82" s="4" t="s">
        <v>4001</v>
      </c>
      <c r="C82" s="4" t="s">
        <v>4002</v>
      </c>
      <c r="D82" s="7" t="n">
        <v>2021</v>
      </c>
      <c r="E82" s="4" t="s">
        <v>3996</v>
      </c>
    </row>
    <row r="83" customFormat="false" ht="15" hidden="false" customHeight="false" outlineLevel="0" collapsed="false">
      <c r="A83" s="4" t="s">
        <v>1313</v>
      </c>
      <c r="B83" s="4" t="s">
        <v>4014</v>
      </c>
      <c r="C83" s="4" t="s">
        <v>4000</v>
      </c>
      <c r="D83" s="7" t="n">
        <v>2021</v>
      </c>
      <c r="E83" s="4" t="s">
        <v>3987</v>
      </c>
    </row>
    <row r="84" customFormat="false" ht="15" hidden="false" customHeight="false" outlineLevel="0" collapsed="false">
      <c r="A84" s="4" t="s">
        <v>1313</v>
      </c>
      <c r="B84" s="4" t="s">
        <v>4020</v>
      </c>
      <c r="C84" s="4" t="s">
        <v>3998</v>
      </c>
      <c r="D84" s="7" t="n">
        <v>2024</v>
      </c>
      <c r="E84" s="4" t="s">
        <v>4003</v>
      </c>
    </row>
    <row r="85" customFormat="false" ht="15" hidden="false" customHeight="false" outlineLevel="0" collapsed="false">
      <c r="A85" s="4" t="s">
        <v>1329</v>
      </c>
      <c r="B85" s="4" t="s">
        <v>3991</v>
      </c>
      <c r="C85" s="4" t="s">
        <v>3990</v>
      </c>
      <c r="D85" s="7" t="n">
        <v>2021</v>
      </c>
      <c r="E85" s="4" t="s">
        <v>3993</v>
      </c>
    </row>
    <row r="86" customFormat="false" ht="15" hidden="false" customHeight="false" outlineLevel="0" collapsed="false">
      <c r="A86" s="4" t="s">
        <v>1329</v>
      </c>
      <c r="B86" s="4" t="s">
        <v>3985</v>
      </c>
      <c r="C86" s="4" t="s">
        <v>3986</v>
      </c>
      <c r="D86" s="7" t="n">
        <v>2020</v>
      </c>
      <c r="E86" s="4" t="s">
        <v>4005</v>
      </c>
    </row>
    <row r="87" customFormat="false" ht="15" hidden="false" customHeight="false" outlineLevel="0" collapsed="false">
      <c r="A87" s="4" t="s">
        <v>1344</v>
      </c>
      <c r="B87" s="4" t="s">
        <v>4001</v>
      </c>
      <c r="C87" s="4" t="s">
        <v>4002</v>
      </c>
      <c r="D87" s="7" t="n">
        <v>2024</v>
      </c>
      <c r="E87" s="4" t="s">
        <v>4003</v>
      </c>
    </row>
    <row r="88" customFormat="false" ht="15" hidden="false" customHeight="false" outlineLevel="0" collapsed="false">
      <c r="A88" s="4" t="s">
        <v>1360</v>
      </c>
      <c r="B88" s="4" t="s">
        <v>3994</v>
      </c>
      <c r="C88" s="4" t="s">
        <v>3995</v>
      </c>
      <c r="D88" s="7" t="n">
        <v>2024</v>
      </c>
      <c r="E88" s="4" t="s">
        <v>4004</v>
      </c>
    </row>
    <row r="89" customFormat="false" ht="15" hidden="false" customHeight="false" outlineLevel="0" collapsed="false">
      <c r="A89" s="4" t="s">
        <v>1360</v>
      </c>
      <c r="B89" s="4" t="s">
        <v>4010</v>
      </c>
      <c r="C89" s="4" t="s">
        <v>3998</v>
      </c>
      <c r="D89" s="7" t="n">
        <v>2021</v>
      </c>
      <c r="E89" s="4" t="s">
        <v>3984</v>
      </c>
    </row>
    <row r="90" customFormat="false" ht="15" hidden="false" customHeight="false" outlineLevel="0" collapsed="false">
      <c r="A90" s="4" t="s">
        <v>1367</v>
      </c>
      <c r="B90" s="4" t="s">
        <v>4001</v>
      </c>
      <c r="C90" s="4" t="s">
        <v>4002</v>
      </c>
      <c r="D90" s="7" t="n">
        <v>2022</v>
      </c>
      <c r="E90" s="4" t="s">
        <v>3987</v>
      </c>
    </row>
    <row r="91" customFormat="false" ht="15" hidden="false" customHeight="false" outlineLevel="0" collapsed="false">
      <c r="A91" s="4" t="s">
        <v>1367</v>
      </c>
      <c r="B91" s="4" t="s">
        <v>3999</v>
      </c>
      <c r="C91" s="4" t="s">
        <v>4000</v>
      </c>
      <c r="D91" s="7" t="n">
        <v>2025</v>
      </c>
      <c r="E91" s="4" t="s">
        <v>4003</v>
      </c>
    </row>
    <row r="92" customFormat="false" ht="15" hidden="false" customHeight="false" outlineLevel="0" collapsed="false">
      <c r="A92" s="4" t="s">
        <v>1383</v>
      </c>
      <c r="B92" s="4" t="s">
        <v>4012</v>
      </c>
      <c r="C92" s="4" t="s">
        <v>3986</v>
      </c>
      <c r="D92" s="7" t="n">
        <v>2021</v>
      </c>
      <c r="E92" s="4" t="s">
        <v>4003</v>
      </c>
    </row>
    <row r="93" customFormat="false" ht="15" hidden="false" customHeight="false" outlineLevel="0" collapsed="false">
      <c r="A93" s="4" t="s">
        <v>1391</v>
      </c>
      <c r="B93" s="4" t="s">
        <v>3991</v>
      </c>
      <c r="C93" s="4" t="s">
        <v>3990</v>
      </c>
      <c r="D93" s="7" t="n">
        <v>2024</v>
      </c>
      <c r="E93" s="4" t="s">
        <v>4004</v>
      </c>
    </row>
    <row r="94" customFormat="false" ht="15" hidden="false" customHeight="false" outlineLevel="0" collapsed="false">
      <c r="A94" s="4" t="s">
        <v>1398</v>
      </c>
      <c r="B94" s="4" t="s">
        <v>4021</v>
      </c>
      <c r="C94" s="4" t="s">
        <v>3998</v>
      </c>
      <c r="D94" s="7" t="n">
        <v>2024</v>
      </c>
      <c r="E94" s="4" t="s">
        <v>4005</v>
      </c>
    </row>
    <row r="95" customFormat="false" ht="15" hidden="false" customHeight="false" outlineLevel="0" collapsed="false">
      <c r="A95" s="4" t="s">
        <v>1406</v>
      </c>
      <c r="B95" s="4" t="s">
        <v>4001</v>
      </c>
      <c r="C95" s="4" t="s">
        <v>4002</v>
      </c>
      <c r="D95" s="7" t="n">
        <v>2018</v>
      </c>
      <c r="E95" s="4" t="s">
        <v>3984</v>
      </c>
    </row>
    <row r="96" customFormat="false" ht="15" hidden="false" customHeight="false" outlineLevel="0" collapsed="false">
      <c r="A96" s="4" t="s">
        <v>1406</v>
      </c>
      <c r="B96" s="4" t="s">
        <v>4012</v>
      </c>
      <c r="C96" s="4" t="s">
        <v>3986</v>
      </c>
      <c r="D96" s="7" t="n">
        <v>2017</v>
      </c>
      <c r="E96" s="4" t="s">
        <v>4003</v>
      </c>
    </row>
    <row r="97" customFormat="false" ht="15" hidden="false" customHeight="false" outlineLevel="0" collapsed="false">
      <c r="A97" s="4" t="s">
        <v>1421</v>
      </c>
      <c r="B97" s="4" t="s">
        <v>4001</v>
      </c>
      <c r="C97" s="4" t="s">
        <v>4002</v>
      </c>
      <c r="D97" s="7" t="n">
        <v>2022</v>
      </c>
      <c r="E97" s="4" t="s">
        <v>4004</v>
      </c>
    </row>
    <row r="98" customFormat="false" ht="15" hidden="false" customHeight="false" outlineLevel="0" collapsed="false">
      <c r="A98" s="4" t="s">
        <v>1443</v>
      </c>
      <c r="B98" s="4" t="s">
        <v>3991</v>
      </c>
      <c r="C98" s="4" t="s">
        <v>3990</v>
      </c>
      <c r="D98" s="7" t="n">
        <v>2022</v>
      </c>
      <c r="E98" s="4" t="s">
        <v>3992</v>
      </c>
    </row>
    <row r="99" customFormat="false" ht="15" hidden="false" customHeight="false" outlineLevel="0" collapsed="false">
      <c r="A99" s="4" t="s">
        <v>1450</v>
      </c>
      <c r="B99" s="4" t="s">
        <v>4001</v>
      </c>
      <c r="C99" s="4" t="s">
        <v>4002</v>
      </c>
      <c r="D99" s="7" t="n">
        <v>2022</v>
      </c>
      <c r="E99" s="4" t="s">
        <v>4003</v>
      </c>
    </row>
    <row r="100" customFormat="false" ht="15" hidden="false" customHeight="false" outlineLevel="0" collapsed="false">
      <c r="A100" s="4" t="s">
        <v>1490</v>
      </c>
      <c r="B100" s="4" t="s">
        <v>4016</v>
      </c>
      <c r="C100" s="4" t="s">
        <v>3990</v>
      </c>
      <c r="D100" s="7" t="n">
        <v>2021</v>
      </c>
      <c r="E100" s="4" t="s">
        <v>4007</v>
      </c>
    </row>
    <row r="101" customFormat="false" ht="15" hidden="false" customHeight="false" outlineLevel="0" collapsed="false">
      <c r="A101" s="4" t="s">
        <v>1490</v>
      </c>
      <c r="B101" s="4" t="s">
        <v>4015</v>
      </c>
      <c r="C101" s="4" t="s">
        <v>3986</v>
      </c>
      <c r="D101" s="7" t="n">
        <v>2021</v>
      </c>
      <c r="E101" s="4" t="s">
        <v>3984</v>
      </c>
    </row>
    <row r="102" customFormat="false" ht="15" hidden="false" customHeight="false" outlineLevel="0" collapsed="false">
      <c r="A102" s="4" t="s">
        <v>1498</v>
      </c>
      <c r="B102" s="4" t="s">
        <v>3991</v>
      </c>
      <c r="C102" s="4" t="s">
        <v>3990</v>
      </c>
      <c r="D102" s="7" t="n">
        <v>2020</v>
      </c>
      <c r="E102" s="4" t="s">
        <v>3992</v>
      </c>
    </row>
    <row r="103" customFormat="false" ht="15" hidden="false" customHeight="false" outlineLevel="0" collapsed="false">
      <c r="A103" s="4" t="s">
        <v>1514</v>
      </c>
      <c r="B103" s="4" t="s">
        <v>4017</v>
      </c>
      <c r="C103" s="4" t="s">
        <v>3983</v>
      </c>
      <c r="D103" s="7" t="n">
        <v>2018</v>
      </c>
      <c r="E103" s="4" t="s">
        <v>4003</v>
      </c>
    </row>
    <row r="104" customFormat="false" ht="15" hidden="false" customHeight="false" outlineLevel="0" collapsed="false">
      <c r="A104" s="4" t="s">
        <v>1522</v>
      </c>
      <c r="B104" s="4" t="s">
        <v>4001</v>
      </c>
      <c r="C104" s="4" t="s">
        <v>4002</v>
      </c>
      <c r="D104" s="7" t="n">
        <v>2021</v>
      </c>
      <c r="E104" s="4" t="s">
        <v>3996</v>
      </c>
    </row>
    <row r="105" customFormat="false" ht="15" hidden="false" customHeight="false" outlineLevel="0" collapsed="false">
      <c r="A105" s="4" t="s">
        <v>1522</v>
      </c>
      <c r="B105" s="4" t="s">
        <v>4010</v>
      </c>
      <c r="C105" s="4" t="s">
        <v>3998</v>
      </c>
      <c r="D105" s="7" t="n">
        <v>2021</v>
      </c>
      <c r="E105" s="4" t="s">
        <v>4005</v>
      </c>
    </row>
    <row r="106" customFormat="false" ht="15" hidden="false" customHeight="false" outlineLevel="0" collapsed="false">
      <c r="A106" s="4" t="s">
        <v>1530</v>
      </c>
      <c r="B106" s="4" t="s">
        <v>4016</v>
      </c>
      <c r="C106" s="4" t="s">
        <v>3990</v>
      </c>
      <c r="D106" s="7" t="n">
        <v>2021</v>
      </c>
      <c r="E106" s="4" t="s">
        <v>3993</v>
      </c>
    </row>
    <row r="107" customFormat="false" ht="15" hidden="false" customHeight="false" outlineLevel="0" collapsed="false">
      <c r="A107" s="4" t="s">
        <v>1537</v>
      </c>
      <c r="B107" s="4" t="s">
        <v>4001</v>
      </c>
      <c r="C107" s="4" t="s">
        <v>4002</v>
      </c>
      <c r="D107" s="7" t="n">
        <v>2018</v>
      </c>
      <c r="E107" s="4" t="s">
        <v>3993</v>
      </c>
    </row>
    <row r="108" customFormat="false" ht="15" hidden="false" customHeight="false" outlineLevel="0" collapsed="false">
      <c r="A108" s="4" t="s">
        <v>1545</v>
      </c>
      <c r="B108" s="4" t="s">
        <v>4010</v>
      </c>
      <c r="C108" s="4" t="s">
        <v>3998</v>
      </c>
      <c r="D108" s="7" t="n">
        <v>2021</v>
      </c>
      <c r="E108" s="4" t="s">
        <v>3992</v>
      </c>
    </row>
    <row r="109" customFormat="false" ht="15" hidden="false" customHeight="false" outlineLevel="0" collapsed="false">
      <c r="A109" s="4" t="s">
        <v>1553</v>
      </c>
      <c r="B109" s="4" t="s">
        <v>3989</v>
      </c>
      <c r="C109" s="4" t="s">
        <v>3990</v>
      </c>
      <c r="D109" s="7" t="n">
        <v>2019</v>
      </c>
      <c r="E109" s="4" t="s">
        <v>3984</v>
      </c>
    </row>
    <row r="110" customFormat="false" ht="15" hidden="false" customHeight="false" outlineLevel="0" collapsed="false">
      <c r="A110" s="4" t="s">
        <v>1561</v>
      </c>
      <c r="B110" s="4" t="s">
        <v>3994</v>
      </c>
      <c r="C110" s="4" t="s">
        <v>3995</v>
      </c>
      <c r="D110" s="7" t="n">
        <v>2020</v>
      </c>
      <c r="E110" s="4" t="s">
        <v>3993</v>
      </c>
    </row>
    <row r="111" customFormat="false" ht="15" hidden="false" customHeight="false" outlineLevel="0" collapsed="false">
      <c r="A111" s="4" t="s">
        <v>1576</v>
      </c>
      <c r="B111" s="4" t="s">
        <v>3985</v>
      </c>
      <c r="C111" s="4" t="s">
        <v>3986</v>
      </c>
      <c r="D111" s="7" t="n">
        <v>2022</v>
      </c>
      <c r="E111" s="4" t="s">
        <v>4007</v>
      </c>
    </row>
    <row r="112" customFormat="false" ht="15" hidden="false" customHeight="false" outlineLevel="0" collapsed="false">
      <c r="A112" s="4" t="s">
        <v>1591</v>
      </c>
      <c r="B112" s="4" t="s">
        <v>4017</v>
      </c>
      <c r="C112" s="4" t="s">
        <v>3983</v>
      </c>
      <c r="D112" s="7" t="n">
        <v>2023</v>
      </c>
      <c r="E112" s="4" t="s">
        <v>4007</v>
      </c>
    </row>
    <row r="113" customFormat="false" ht="15" hidden="false" customHeight="false" outlineLevel="0" collapsed="false">
      <c r="A113" s="4" t="s">
        <v>1591</v>
      </c>
      <c r="B113" s="4" t="s">
        <v>3985</v>
      </c>
      <c r="C113" s="4" t="s">
        <v>3986</v>
      </c>
      <c r="D113" s="7" t="n">
        <v>2020</v>
      </c>
      <c r="E113" s="4" t="s">
        <v>3996</v>
      </c>
    </row>
    <row r="114" customFormat="false" ht="15" hidden="false" customHeight="false" outlineLevel="0" collapsed="false">
      <c r="A114" s="4" t="s">
        <v>1615</v>
      </c>
      <c r="B114" s="4" t="s">
        <v>3994</v>
      </c>
      <c r="C114" s="4" t="s">
        <v>3995</v>
      </c>
      <c r="D114" s="7" t="n">
        <v>2018</v>
      </c>
      <c r="E114" s="4" t="s">
        <v>3984</v>
      </c>
    </row>
    <row r="115" customFormat="false" ht="15" hidden="false" customHeight="false" outlineLevel="0" collapsed="false">
      <c r="A115" s="4" t="s">
        <v>1623</v>
      </c>
      <c r="B115" s="4" t="s">
        <v>4016</v>
      </c>
      <c r="C115" s="4" t="s">
        <v>3990</v>
      </c>
      <c r="D115" s="7" t="n">
        <v>2017</v>
      </c>
      <c r="E115" s="4" t="s">
        <v>3996</v>
      </c>
    </row>
    <row r="116" customFormat="false" ht="15" hidden="false" customHeight="false" outlineLevel="0" collapsed="false">
      <c r="A116" s="4" t="s">
        <v>1623</v>
      </c>
      <c r="B116" s="4" t="s">
        <v>4009</v>
      </c>
      <c r="C116" s="4" t="s">
        <v>4000</v>
      </c>
      <c r="D116" s="7" t="n">
        <v>2016</v>
      </c>
      <c r="E116" s="4" t="s">
        <v>3992</v>
      </c>
    </row>
    <row r="117" customFormat="false" ht="15" hidden="false" customHeight="false" outlineLevel="0" collapsed="false">
      <c r="A117" s="4" t="s">
        <v>1655</v>
      </c>
      <c r="B117" s="4" t="s">
        <v>4001</v>
      </c>
      <c r="C117" s="4" t="s">
        <v>4002</v>
      </c>
      <c r="D117" s="7" t="n">
        <v>2023</v>
      </c>
      <c r="E117" s="4" t="s">
        <v>3987</v>
      </c>
    </row>
    <row r="118" customFormat="false" ht="15" hidden="false" customHeight="false" outlineLevel="0" collapsed="false">
      <c r="A118" s="4" t="s">
        <v>1655</v>
      </c>
      <c r="B118" s="4" t="s">
        <v>4020</v>
      </c>
      <c r="C118" s="4" t="s">
        <v>3998</v>
      </c>
      <c r="D118" s="7" t="n">
        <v>2022</v>
      </c>
      <c r="E118" s="4" t="s">
        <v>3996</v>
      </c>
    </row>
    <row r="119" customFormat="false" ht="15" hidden="false" customHeight="false" outlineLevel="0" collapsed="false">
      <c r="A119" s="4" t="s">
        <v>1671</v>
      </c>
      <c r="B119" s="4" t="s">
        <v>4014</v>
      </c>
      <c r="C119" s="4" t="s">
        <v>4000</v>
      </c>
      <c r="D119" s="7" t="n">
        <v>2019</v>
      </c>
      <c r="E119" s="4" t="s">
        <v>3993</v>
      </c>
    </row>
    <row r="120" customFormat="false" ht="15" hidden="false" customHeight="false" outlineLevel="0" collapsed="false">
      <c r="A120" s="4" t="s">
        <v>1671</v>
      </c>
      <c r="B120" s="4" t="s">
        <v>3989</v>
      </c>
      <c r="C120" s="4" t="s">
        <v>3990</v>
      </c>
      <c r="D120" s="7" t="n">
        <v>2023</v>
      </c>
      <c r="E120" s="4" t="s">
        <v>3996</v>
      </c>
    </row>
    <row r="121" customFormat="false" ht="15" hidden="false" customHeight="false" outlineLevel="0" collapsed="false">
      <c r="A121" s="4" t="s">
        <v>1679</v>
      </c>
      <c r="B121" s="4" t="s">
        <v>3988</v>
      </c>
      <c r="C121" s="4" t="s">
        <v>3983</v>
      </c>
      <c r="D121" s="7" t="n">
        <v>2024</v>
      </c>
      <c r="E121" s="4" t="s">
        <v>4005</v>
      </c>
    </row>
    <row r="122" customFormat="false" ht="15" hidden="false" customHeight="false" outlineLevel="0" collapsed="false">
      <c r="A122" s="4" t="s">
        <v>1687</v>
      </c>
      <c r="B122" s="4" t="s">
        <v>3994</v>
      </c>
      <c r="C122" s="4" t="s">
        <v>3995</v>
      </c>
      <c r="D122" s="7" t="n">
        <v>2023</v>
      </c>
      <c r="E122" s="4" t="s">
        <v>3993</v>
      </c>
    </row>
    <row r="123" customFormat="false" ht="15" hidden="false" customHeight="false" outlineLevel="0" collapsed="false">
      <c r="A123" s="4" t="s">
        <v>1695</v>
      </c>
      <c r="B123" s="4" t="s">
        <v>4018</v>
      </c>
      <c r="C123" s="4" t="s">
        <v>3986</v>
      </c>
      <c r="D123" s="7" t="n">
        <v>2019</v>
      </c>
      <c r="E123" s="4" t="s">
        <v>3996</v>
      </c>
    </row>
    <row r="124" customFormat="false" ht="15" hidden="false" customHeight="false" outlineLevel="0" collapsed="false">
      <c r="A124" s="4" t="s">
        <v>1711</v>
      </c>
      <c r="B124" s="4" t="s">
        <v>3982</v>
      </c>
      <c r="C124" s="4" t="s">
        <v>3983</v>
      </c>
      <c r="D124" s="7" t="n">
        <v>2020</v>
      </c>
      <c r="E124" s="4" t="s">
        <v>4005</v>
      </c>
    </row>
    <row r="125" customFormat="false" ht="15" hidden="false" customHeight="false" outlineLevel="0" collapsed="false">
      <c r="A125" s="4" t="s">
        <v>1711</v>
      </c>
      <c r="B125" s="4" t="s">
        <v>3985</v>
      </c>
      <c r="C125" s="4" t="s">
        <v>3986</v>
      </c>
      <c r="D125" s="7" t="n">
        <v>2021</v>
      </c>
      <c r="E125" s="4" t="s">
        <v>3996</v>
      </c>
    </row>
    <row r="126" customFormat="false" ht="15" hidden="false" customHeight="false" outlineLevel="0" collapsed="false">
      <c r="A126" s="4" t="s">
        <v>1726</v>
      </c>
      <c r="B126" s="4" t="s">
        <v>3988</v>
      </c>
      <c r="C126" s="4" t="s">
        <v>3983</v>
      </c>
      <c r="D126" s="7" t="n">
        <v>2018</v>
      </c>
      <c r="E126" s="4" t="s">
        <v>4007</v>
      </c>
    </row>
    <row r="127" customFormat="false" ht="15" hidden="false" customHeight="false" outlineLevel="0" collapsed="false">
      <c r="A127" s="4" t="s">
        <v>1748</v>
      </c>
      <c r="B127" s="4" t="s">
        <v>4001</v>
      </c>
      <c r="C127" s="4" t="s">
        <v>4002</v>
      </c>
      <c r="D127" s="7" t="n">
        <v>2021</v>
      </c>
      <c r="E127" s="4" t="s">
        <v>4004</v>
      </c>
    </row>
    <row r="128" customFormat="false" ht="15" hidden="false" customHeight="false" outlineLevel="0" collapsed="false">
      <c r="A128" s="4" t="s">
        <v>1780</v>
      </c>
      <c r="B128" s="4" t="s">
        <v>3999</v>
      </c>
      <c r="C128" s="4" t="s">
        <v>4000</v>
      </c>
      <c r="D128" s="7" t="n">
        <v>2020</v>
      </c>
      <c r="E128" s="4" t="s">
        <v>4003</v>
      </c>
    </row>
    <row r="129" customFormat="false" ht="15" hidden="false" customHeight="false" outlineLevel="0" collapsed="false">
      <c r="A129" s="4" t="s">
        <v>1788</v>
      </c>
      <c r="B129" s="4" t="s">
        <v>4001</v>
      </c>
      <c r="C129" s="4" t="s">
        <v>4002</v>
      </c>
      <c r="D129" s="7" t="n">
        <v>2021</v>
      </c>
      <c r="E129" s="4" t="s">
        <v>3984</v>
      </c>
    </row>
    <row r="130" customFormat="false" ht="15" hidden="false" customHeight="false" outlineLevel="0" collapsed="false">
      <c r="A130" s="4" t="s">
        <v>1795</v>
      </c>
      <c r="B130" s="4" t="s">
        <v>3991</v>
      </c>
      <c r="C130" s="4" t="s">
        <v>3990</v>
      </c>
      <c r="D130" s="7" t="n">
        <v>2018</v>
      </c>
      <c r="E130" s="4" t="s">
        <v>3992</v>
      </c>
    </row>
    <row r="131" customFormat="false" ht="15" hidden="false" customHeight="false" outlineLevel="0" collapsed="false">
      <c r="A131" s="4" t="s">
        <v>1850</v>
      </c>
      <c r="B131" s="4" t="s">
        <v>3991</v>
      </c>
      <c r="C131" s="4" t="s">
        <v>3990</v>
      </c>
      <c r="D131" s="7" t="n">
        <v>2021</v>
      </c>
      <c r="E131" s="4" t="s">
        <v>3993</v>
      </c>
    </row>
    <row r="132" customFormat="false" ht="15" hidden="false" customHeight="false" outlineLevel="0" collapsed="false">
      <c r="A132" s="4" t="s">
        <v>1850</v>
      </c>
      <c r="B132" s="4" t="s">
        <v>4001</v>
      </c>
      <c r="C132" s="4" t="s">
        <v>4002</v>
      </c>
      <c r="D132" s="7" t="n">
        <v>2024</v>
      </c>
      <c r="E132" s="4" t="s">
        <v>3984</v>
      </c>
    </row>
    <row r="133" customFormat="false" ht="15" hidden="false" customHeight="false" outlineLevel="0" collapsed="false">
      <c r="A133" s="4" t="s">
        <v>1857</v>
      </c>
      <c r="B133" s="4" t="s">
        <v>3994</v>
      </c>
      <c r="C133" s="4" t="s">
        <v>3995</v>
      </c>
      <c r="D133" s="7" t="n">
        <v>2016</v>
      </c>
      <c r="E133" s="4" t="s">
        <v>3993</v>
      </c>
    </row>
    <row r="134" customFormat="false" ht="15" hidden="false" customHeight="false" outlineLevel="0" collapsed="false">
      <c r="A134" s="4" t="s">
        <v>1872</v>
      </c>
      <c r="B134" s="4" t="s">
        <v>3991</v>
      </c>
      <c r="C134" s="4" t="s">
        <v>3990</v>
      </c>
      <c r="D134" s="7" t="n">
        <v>2017</v>
      </c>
      <c r="E134" s="4" t="s">
        <v>3992</v>
      </c>
    </row>
    <row r="135" customFormat="false" ht="15" hidden="false" customHeight="false" outlineLevel="0" collapsed="false">
      <c r="A135" s="4" t="s">
        <v>1916</v>
      </c>
      <c r="B135" s="4" t="s">
        <v>3985</v>
      </c>
      <c r="C135" s="4" t="s">
        <v>3986</v>
      </c>
      <c r="D135" s="7" t="n">
        <v>2020</v>
      </c>
      <c r="E135" s="4" t="s">
        <v>4005</v>
      </c>
    </row>
    <row r="136" customFormat="false" ht="15" hidden="false" customHeight="false" outlineLevel="0" collapsed="false">
      <c r="A136" s="4" t="s">
        <v>1932</v>
      </c>
      <c r="B136" s="4" t="s">
        <v>3982</v>
      </c>
      <c r="C136" s="4" t="s">
        <v>3983</v>
      </c>
      <c r="D136" s="7" t="n">
        <v>2023</v>
      </c>
      <c r="E136" s="4" t="s">
        <v>3996</v>
      </c>
    </row>
    <row r="137" customFormat="false" ht="15" hidden="false" customHeight="false" outlineLevel="0" collapsed="false">
      <c r="A137" s="4" t="s">
        <v>1954</v>
      </c>
      <c r="B137" s="4" t="s">
        <v>4018</v>
      </c>
      <c r="C137" s="4" t="s">
        <v>3986</v>
      </c>
      <c r="D137" s="7" t="n">
        <v>2023</v>
      </c>
      <c r="E137" s="4" t="s">
        <v>4007</v>
      </c>
    </row>
    <row r="138" customFormat="false" ht="15" hidden="false" customHeight="false" outlineLevel="0" collapsed="false">
      <c r="A138" s="4" t="s">
        <v>1954</v>
      </c>
      <c r="B138" s="4" t="s">
        <v>3988</v>
      </c>
      <c r="C138" s="4" t="s">
        <v>3983</v>
      </c>
      <c r="D138" s="7" t="n">
        <v>2021</v>
      </c>
      <c r="E138" s="4" t="s">
        <v>4003</v>
      </c>
    </row>
    <row r="139" customFormat="false" ht="15" hidden="false" customHeight="false" outlineLevel="0" collapsed="false">
      <c r="A139" s="4" t="s">
        <v>1962</v>
      </c>
      <c r="B139" s="4" t="s">
        <v>4001</v>
      </c>
      <c r="C139" s="4" t="s">
        <v>4002</v>
      </c>
      <c r="D139" s="7" t="n">
        <v>2020</v>
      </c>
      <c r="E139" s="4" t="s">
        <v>3996</v>
      </c>
    </row>
    <row r="140" customFormat="false" ht="15" hidden="false" customHeight="false" outlineLevel="0" collapsed="false">
      <c r="A140" s="4" t="s">
        <v>2001</v>
      </c>
      <c r="B140" s="4" t="s">
        <v>4001</v>
      </c>
      <c r="C140" s="4" t="s">
        <v>4002</v>
      </c>
      <c r="D140" s="7" t="n">
        <v>2021</v>
      </c>
      <c r="E140" s="4" t="s">
        <v>4004</v>
      </c>
    </row>
    <row r="141" customFormat="false" ht="15" hidden="false" customHeight="false" outlineLevel="0" collapsed="false">
      <c r="A141" s="4" t="s">
        <v>2016</v>
      </c>
      <c r="B141" s="4" t="s">
        <v>4014</v>
      </c>
      <c r="C141" s="4" t="s">
        <v>4000</v>
      </c>
      <c r="D141" s="7" t="n">
        <v>2023</v>
      </c>
      <c r="E141" s="4" t="s">
        <v>3996</v>
      </c>
    </row>
    <row r="142" customFormat="false" ht="15" hidden="false" customHeight="false" outlineLevel="0" collapsed="false">
      <c r="A142" s="4" t="s">
        <v>2024</v>
      </c>
      <c r="B142" s="4" t="s">
        <v>4001</v>
      </c>
      <c r="C142" s="4" t="s">
        <v>4002</v>
      </c>
      <c r="D142" s="7" t="n">
        <v>2021</v>
      </c>
      <c r="E142" s="4" t="s">
        <v>3993</v>
      </c>
    </row>
    <row r="143" customFormat="false" ht="15" hidden="false" customHeight="false" outlineLevel="0" collapsed="false">
      <c r="A143" s="4" t="s">
        <v>2047</v>
      </c>
      <c r="B143" s="4" t="s">
        <v>4001</v>
      </c>
      <c r="C143" s="4" t="s">
        <v>4002</v>
      </c>
      <c r="D143" s="7" t="n">
        <v>2021</v>
      </c>
      <c r="E143" s="4" t="s">
        <v>3993</v>
      </c>
    </row>
    <row r="144" customFormat="false" ht="15" hidden="false" customHeight="false" outlineLevel="0" collapsed="false">
      <c r="A144" s="4" t="s">
        <v>2063</v>
      </c>
      <c r="B144" s="4" t="s">
        <v>3994</v>
      </c>
      <c r="C144" s="4" t="s">
        <v>3995</v>
      </c>
      <c r="D144" s="7" t="n">
        <v>2022</v>
      </c>
      <c r="E144" s="4" t="s">
        <v>3987</v>
      </c>
    </row>
    <row r="145" customFormat="false" ht="15" hidden="false" customHeight="false" outlineLevel="0" collapsed="false">
      <c r="A145" s="4" t="s">
        <v>2063</v>
      </c>
      <c r="B145" s="4" t="s">
        <v>4001</v>
      </c>
      <c r="C145" s="4" t="s">
        <v>4002</v>
      </c>
      <c r="D145" s="7" t="n">
        <v>2022</v>
      </c>
      <c r="E145" s="4" t="s">
        <v>3996</v>
      </c>
    </row>
    <row r="146" customFormat="false" ht="15" hidden="false" customHeight="false" outlineLevel="0" collapsed="false">
      <c r="A146" s="4" t="s">
        <v>2085</v>
      </c>
      <c r="B146" s="4" t="s">
        <v>3999</v>
      </c>
      <c r="C146" s="4" t="s">
        <v>4000</v>
      </c>
      <c r="D146" s="7" t="n">
        <v>2019</v>
      </c>
      <c r="E146" s="4" t="s">
        <v>3996</v>
      </c>
    </row>
    <row r="147" customFormat="false" ht="15" hidden="false" customHeight="false" outlineLevel="0" collapsed="false">
      <c r="A147" s="4" t="s">
        <v>2100</v>
      </c>
      <c r="B147" s="4" t="s">
        <v>3991</v>
      </c>
      <c r="C147" s="4" t="s">
        <v>3990</v>
      </c>
      <c r="D147" s="7" t="n">
        <v>2020</v>
      </c>
      <c r="E147" s="4" t="s">
        <v>3984</v>
      </c>
    </row>
    <row r="148" customFormat="false" ht="15" hidden="false" customHeight="false" outlineLevel="0" collapsed="false">
      <c r="A148" s="4" t="s">
        <v>2107</v>
      </c>
      <c r="B148" s="4" t="s">
        <v>3994</v>
      </c>
      <c r="C148" s="4" t="s">
        <v>3995</v>
      </c>
      <c r="D148" s="7" t="n">
        <v>2021</v>
      </c>
      <c r="E148" s="4" t="s">
        <v>4005</v>
      </c>
    </row>
    <row r="149" customFormat="false" ht="15" hidden="false" customHeight="false" outlineLevel="0" collapsed="false">
      <c r="A149" s="4" t="s">
        <v>2115</v>
      </c>
      <c r="B149" s="4" t="s">
        <v>4015</v>
      </c>
      <c r="C149" s="4" t="s">
        <v>3986</v>
      </c>
      <c r="D149" s="7" t="n">
        <v>2021</v>
      </c>
      <c r="E149" s="4" t="s">
        <v>4005</v>
      </c>
    </row>
    <row r="150" customFormat="false" ht="15" hidden="false" customHeight="false" outlineLevel="0" collapsed="false">
      <c r="A150" s="4" t="s">
        <v>2123</v>
      </c>
      <c r="B150" s="4" t="s">
        <v>4021</v>
      </c>
      <c r="C150" s="4" t="s">
        <v>3998</v>
      </c>
      <c r="D150" s="7" t="n">
        <v>2018</v>
      </c>
      <c r="E150" s="4" t="s">
        <v>4007</v>
      </c>
    </row>
    <row r="151" customFormat="false" ht="15" hidden="false" customHeight="false" outlineLevel="0" collapsed="false">
      <c r="A151" s="4" t="s">
        <v>2146</v>
      </c>
      <c r="B151" s="4" t="s">
        <v>3994</v>
      </c>
      <c r="C151" s="4" t="s">
        <v>3995</v>
      </c>
      <c r="D151" s="7" t="n">
        <v>2021</v>
      </c>
      <c r="E151" s="4" t="s">
        <v>3993</v>
      </c>
    </row>
    <row r="152" customFormat="false" ht="15" hidden="false" customHeight="false" outlineLevel="0" collapsed="false">
      <c r="A152" s="4" t="s">
        <v>2154</v>
      </c>
      <c r="B152" s="4" t="s">
        <v>3994</v>
      </c>
      <c r="C152" s="4" t="s">
        <v>3995</v>
      </c>
      <c r="D152" s="7" t="n">
        <v>2019</v>
      </c>
      <c r="E152" s="4" t="s">
        <v>3984</v>
      </c>
    </row>
    <row r="153" customFormat="false" ht="15" hidden="false" customHeight="false" outlineLevel="0" collapsed="false">
      <c r="A153" s="4" t="s">
        <v>2161</v>
      </c>
      <c r="B153" s="4" t="s">
        <v>3994</v>
      </c>
      <c r="C153" s="4" t="s">
        <v>3995</v>
      </c>
      <c r="D153" s="7" t="n">
        <v>2022</v>
      </c>
      <c r="E153" s="4" t="s">
        <v>4005</v>
      </c>
    </row>
    <row r="154" customFormat="false" ht="15" hidden="false" customHeight="false" outlineLevel="0" collapsed="false">
      <c r="A154" s="4" t="s">
        <v>2169</v>
      </c>
      <c r="B154" s="4" t="s">
        <v>4018</v>
      </c>
      <c r="C154" s="4" t="s">
        <v>3986</v>
      </c>
      <c r="D154" s="7" t="n">
        <v>2020</v>
      </c>
      <c r="E154" s="4" t="s">
        <v>3993</v>
      </c>
    </row>
    <row r="155" customFormat="false" ht="15" hidden="false" customHeight="false" outlineLevel="0" collapsed="false">
      <c r="A155" s="4" t="s">
        <v>2177</v>
      </c>
      <c r="B155" s="4" t="s">
        <v>4001</v>
      </c>
      <c r="C155" s="4" t="s">
        <v>4002</v>
      </c>
      <c r="D155" s="7" t="n">
        <v>2022</v>
      </c>
      <c r="E155" s="4" t="s">
        <v>4005</v>
      </c>
    </row>
    <row r="156" customFormat="false" ht="15" hidden="false" customHeight="false" outlineLevel="0" collapsed="false">
      <c r="A156" s="4" t="s">
        <v>2177</v>
      </c>
      <c r="B156" s="4" t="s">
        <v>3994</v>
      </c>
      <c r="C156" s="4" t="s">
        <v>3995</v>
      </c>
      <c r="D156" s="7" t="n">
        <v>2021</v>
      </c>
      <c r="E156" s="4" t="s">
        <v>3984</v>
      </c>
    </row>
    <row r="157" customFormat="false" ht="15" hidden="false" customHeight="false" outlineLevel="0" collapsed="false">
      <c r="A157" s="4" t="s">
        <v>2184</v>
      </c>
      <c r="B157" s="4" t="s">
        <v>3991</v>
      </c>
      <c r="C157" s="4" t="s">
        <v>3990</v>
      </c>
      <c r="D157" s="7" t="n">
        <v>2022</v>
      </c>
      <c r="E157" s="4" t="s">
        <v>4004</v>
      </c>
    </row>
    <row r="158" customFormat="false" ht="15" hidden="false" customHeight="false" outlineLevel="0" collapsed="false">
      <c r="A158" s="4" t="s">
        <v>2230</v>
      </c>
      <c r="B158" s="4" t="s">
        <v>4009</v>
      </c>
      <c r="C158" s="4" t="s">
        <v>4000</v>
      </c>
      <c r="D158" s="7" t="n">
        <v>2021</v>
      </c>
      <c r="E158" s="4" t="s">
        <v>3984</v>
      </c>
    </row>
    <row r="159" customFormat="false" ht="15" hidden="false" customHeight="false" outlineLevel="0" collapsed="false">
      <c r="A159" s="4" t="s">
        <v>2238</v>
      </c>
      <c r="B159" s="4" t="s">
        <v>4010</v>
      </c>
      <c r="C159" s="4" t="s">
        <v>3998</v>
      </c>
      <c r="D159" s="7" t="n">
        <v>2017</v>
      </c>
      <c r="E159" s="4" t="s">
        <v>3992</v>
      </c>
    </row>
    <row r="160" customFormat="false" ht="15" hidden="false" customHeight="false" outlineLevel="0" collapsed="false">
      <c r="A160" s="4" t="s">
        <v>2246</v>
      </c>
      <c r="B160" s="4" t="s">
        <v>4001</v>
      </c>
      <c r="C160" s="4" t="s">
        <v>4002</v>
      </c>
      <c r="D160" s="7" t="n">
        <v>2023</v>
      </c>
      <c r="E160" s="4" t="s">
        <v>3993</v>
      </c>
    </row>
    <row r="161" customFormat="false" ht="15" hidden="false" customHeight="false" outlineLevel="0" collapsed="false">
      <c r="A161" s="4" t="s">
        <v>2246</v>
      </c>
      <c r="B161" s="4" t="s">
        <v>3989</v>
      </c>
      <c r="C161" s="4" t="s">
        <v>3990</v>
      </c>
      <c r="D161" s="7" t="n">
        <v>2020</v>
      </c>
      <c r="E161" s="4" t="s">
        <v>4003</v>
      </c>
    </row>
    <row r="162" customFormat="false" ht="15" hidden="false" customHeight="false" outlineLevel="0" collapsed="false">
      <c r="A162" s="4" t="s">
        <v>2261</v>
      </c>
      <c r="B162" s="4" t="s">
        <v>3994</v>
      </c>
      <c r="C162" s="4" t="s">
        <v>3995</v>
      </c>
      <c r="D162" s="7" t="n">
        <v>2017</v>
      </c>
      <c r="E162" s="4" t="s">
        <v>4004</v>
      </c>
    </row>
    <row r="163" customFormat="false" ht="15" hidden="false" customHeight="false" outlineLevel="0" collapsed="false">
      <c r="A163" s="4" t="s">
        <v>2261</v>
      </c>
      <c r="B163" s="4" t="s">
        <v>4006</v>
      </c>
      <c r="C163" s="4" t="s">
        <v>3998</v>
      </c>
      <c r="D163" s="7" t="n">
        <v>2018</v>
      </c>
      <c r="E163" s="4" t="s">
        <v>3992</v>
      </c>
    </row>
    <row r="164" customFormat="false" ht="15" hidden="false" customHeight="false" outlineLevel="0" collapsed="false">
      <c r="A164" s="4" t="s">
        <v>2276</v>
      </c>
      <c r="B164" s="4" t="s">
        <v>4006</v>
      </c>
      <c r="C164" s="4" t="s">
        <v>3998</v>
      </c>
      <c r="D164" s="7" t="n">
        <v>2019</v>
      </c>
      <c r="E164" s="4" t="s">
        <v>3987</v>
      </c>
    </row>
    <row r="165" customFormat="false" ht="15" hidden="false" customHeight="false" outlineLevel="0" collapsed="false">
      <c r="A165" s="4" t="s">
        <v>2300</v>
      </c>
      <c r="B165" s="4" t="s">
        <v>4011</v>
      </c>
      <c r="C165" s="4" t="s">
        <v>4000</v>
      </c>
      <c r="D165" s="7" t="n">
        <v>2021</v>
      </c>
      <c r="E165" s="4" t="s">
        <v>3996</v>
      </c>
    </row>
    <row r="166" customFormat="false" ht="15" hidden="false" customHeight="false" outlineLevel="0" collapsed="false">
      <c r="A166" s="4" t="s">
        <v>2300</v>
      </c>
      <c r="B166" s="4" t="s">
        <v>3994</v>
      </c>
      <c r="C166" s="4" t="s">
        <v>3995</v>
      </c>
      <c r="D166" s="7" t="n">
        <v>2023</v>
      </c>
      <c r="E166" s="4" t="s">
        <v>4003</v>
      </c>
    </row>
    <row r="167" customFormat="false" ht="15" hidden="false" customHeight="false" outlineLevel="0" collapsed="false">
      <c r="A167" s="4" t="s">
        <v>2308</v>
      </c>
      <c r="B167" s="4" t="s">
        <v>4001</v>
      </c>
      <c r="C167" s="4" t="s">
        <v>4002</v>
      </c>
      <c r="D167" s="7" t="n">
        <v>2021</v>
      </c>
      <c r="E167" s="4" t="s">
        <v>3987</v>
      </c>
    </row>
    <row r="168" customFormat="false" ht="15" hidden="false" customHeight="false" outlineLevel="0" collapsed="false">
      <c r="A168" s="4" t="s">
        <v>2308</v>
      </c>
      <c r="B168" s="4" t="s">
        <v>3991</v>
      </c>
      <c r="C168" s="4" t="s">
        <v>3990</v>
      </c>
      <c r="D168" s="7" t="n">
        <v>2023</v>
      </c>
      <c r="E168" s="4" t="s">
        <v>3987</v>
      </c>
    </row>
    <row r="169" customFormat="false" ht="15" hidden="false" customHeight="false" outlineLevel="0" collapsed="false">
      <c r="A169" s="4" t="s">
        <v>2332</v>
      </c>
      <c r="B169" s="4" t="s">
        <v>3988</v>
      </c>
      <c r="C169" s="4" t="s">
        <v>3983</v>
      </c>
      <c r="D169" s="7" t="n">
        <v>2023</v>
      </c>
      <c r="E169" s="4" t="s">
        <v>3996</v>
      </c>
    </row>
    <row r="170" customFormat="false" ht="15" hidden="false" customHeight="false" outlineLevel="0" collapsed="false">
      <c r="A170" s="4" t="s">
        <v>2370</v>
      </c>
      <c r="B170" s="4" t="s">
        <v>4016</v>
      </c>
      <c r="C170" s="4" t="s">
        <v>3990</v>
      </c>
      <c r="D170" s="7" t="n">
        <v>2020</v>
      </c>
      <c r="E170" s="4" t="s">
        <v>3993</v>
      </c>
    </row>
    <row r="171" customFormat="false" ht="15" hidden="false" customHeight="false" outlineLevel="0" collapsed="false">
      <c r="A171" s="4" t="s">
        <v>2438</v>
      </c>
      <c r="B171" s="4" t="s">
        <v>4009</v>
      </c>
      <c r="C171" s="4" t="s">
        <v>4000</v>
      </c>
      <c r="D171" s="7" t="n">
        <v>2019</v>
      </c>
      <c r="E171" s="4" t="s">
        <v>3992</v>
      </c>
    </row>
    <row r="172" customFormat="false" ht="15" hidden="false" customHeight="false" outlineLevel="0" collapsed="false">
      <c r="A172" s="4" t="s">
        <v>2453</v>
      </c>
      <c r="B172" s="4" t="s">
        <v>3999</v>
      </c>
      <c r="C172" s="4" t="s">
        <v>4000</v>
      </c>
      <c r="D172" s="7" t="n">
        <v>2023</v>
      </c>
      <c r="E172" s="4" t="s">
        <v>3992</v>
      </c>
    </row>
    <row r="173" customFormat="false" ht="15" hidden="false" customHeight="false" outlineLevel="0" collapsed="false">
      <c r="A173" s="4" t="s">
        <v>2453</v>
      </c>
      <c r="B173" s="4" t="s">
        <v>3994</v>
      </c>
      <c r="C173" s="4" t="s">
        <v>3995</v>
      </c>
      <c r="D173" s="7" t="n">
        <v>2022</v>
      </c>
      <c r="E173" s="4" t="s">
        <v>3984</v>
      </c>
    </row>
    <row r="174" customFormat="false" ht="15" hidden="false" customHeight="false" outlineLevel="0" collapsed="false">
      <c r="A174" s="4" t="s">
        <v>2476</v>
      </c>
      <c r="B174" s="4" t="s">
        <v>4018</v>
      </c>
      <c r="C174" s="4" t="s">
        <v>3986</v>
      </c>
      <c r="D174" s="7" t="n">
        <v>2022</v>
      </c>
      <c r="E174" s="4" t="s">
        <v>3993</v>
      </c>
    </row>
    <row r="175" customFormat="false" ht="15" hidden="false" customHeight="false" outlineLevel="0" collapsed="false">
      <c r="A175" s="4" t="s">
        <v>2499</v>
      </c>
      <c r="B175" s="4" t="s">
        <v>3982</v>
      </c>
      <c r="C175" s="4" t="s">
        <v>3983</v>
      </c>
      <c r="D175" s="7" t="n">
        <v>2017</v>
      </c>
      <c r="E175" s="4" t="s">
        <v>3984</v>
      </c>
    </row>
    <row r="176" customFormat="false" ht="15" hidden="false" customHeight="false" outlineLevel="0" collapsed="false">
      <c r="A176" s="4" t="s">
        <v>2513</v>
      </c>
      <c r="B176" s="4" t="s">
        <v>3994</v>
      </c>
      <c r="C176" s="4" t="s">
        <v>3995</v>
      </c>
      <c r="D176" s="7" t="n">
        <v>2021</v>
      </c>
      <c r="E176" s="4" t="s">
        <v>3992</v>
      </c>
    </row>
    <row r="177" customFormat="false" ht="15" hidden="false" customHeight="false" outlineLevel="0" collapsed="false">
      <c r="A177" s="4" t="s">
        <v>2521</v>
      </c>
      <c r="B177" s="4" t="s">
        <v>4001</v>
      </c>
      <c r="C177" s="4" t="s">
        <v>4002</v>
      </c>
      <c r="D177" s="7" t="n">
        <v>2022</v>
      </c>
      <c r="E177" s="4" t="s">
        <v>3993</v>
      </c>
    </row>
    <row r="178" customFormat="false" ht="15" hidden="false" customHeight="false" outlineLevel="0" collapsed="false">
      <c r="A178" s="4" t="s">
        <v>2537</v>
      </c>
      <c r="B178" s="4" t="s">
        <v>4001</v>
      </c>
      <c r="C178" s="4" t="s">
        <v>4002</v>
      </c>
      <c r="D178" s="7" t="n">
        <v>2019</v>
      </c>
      <c r="E178" s="4" t="s">
        <v>3992</v>
      </c>
    </row>
    <row r="179" customFormat="false" ht="15" hidden="false" customHeight="false" outlineLevel="0" collapsed="false">
      <c r="A179" s="4" t="s">
        <v>2568</v>
      </c>
      <c r="B179" s="4" t="s">
        <v>4011</v>
      </c>
      <c r="C179" s="4" t="s">
        <v>4000</v>
      </c>
      <c r="D179" s="7" t="n">
        <v>2019</v>
      </c>
      <c r="E179" s="4" t="s">
        <v>4004</v>
      </c>
    </row>
    <row r="180" customFormat="false" ht="15" hidden="false" customHeight="false" outlineLevel="0" collapsed="false">
      <c r="A180" s="4" t="s">
        <v>2582</v>
      </c>
      <c r="B180" s="4" t="s">
        <v>4017</v>
      </c>
      <c r="C180" s="4" t="s">
        <v>3983</v>
      </c>
      <c r="D180" s="7" t="n">
        <v>2020</v>
      </c>
      <c r="E180" s="4" t="s">
        <v>4007</v>
      </c>
    </row>
    <row r="181" customFormat="false" ht="15" hidden="false" customHeight="false" outlineLevel="0" collapsed="false">
      <c r="A181" s="4" t="s">
        <v>2582</v>
      </c>
      <c r="B181" s="4" t="s">
        <v>4001</v>
      </c>
      <c r="C181" s="4" t="s">
        <v>4002</v>
      </c>
      <c r="D181" s="7" t="n">
        <v>2024</v>
      </c>
      <c r="E181" s="4" t="s">
        <v>4007</v>
      </c>
    </row>
    <row r="182" customFormat="false" ht="15" hidden="false" customHeight="false" outlineLevel="0" collapsed="false">
      <c r="A182" s="4" t="s">
        <v>2604</v>
      </c>
      <c r="B182" s="4" t="s">
        <v>4014</v>
      </c>
      <c r="C182" s="4" t="s">
        <v>4000</v>
      </c>
      <c r="D182" s="7" t="n">
        <v>2021</v>
      </c>
      <c r="E182" s="4" t="s">
        <v>3993</v>
      </c>
    </row>
    <row r="183" customFormat="false" ht="15" hidden="false" customHeight="false" outlineLevel="0" collapsed="false">
      <c r="A183" s="4" t="s">
        <v>2604</v>
      </c>
      <c r="B183" s="4" t="s">
        <v>4012</v>
      </c>
      <c r="C183" s="4" t="s">
        <v>3986</v>
      </c>
      <c r="D183" s="7" t="n">
        <v>2021</v>
      </c>
      <c r="E183" s="4" t="s">
        <v>3984</v>
      </c>
    </row>
    <row r="184" customFormat="false" ht="15" hidden="false" customHeight="false" outlineLevel="0" collapsed="false">
      <c r="A184" s="4" t="s">
        <v>2620</v>
      </c>
      <c r="B184" s="4" t="s">
        <v>4018</v>
      </c>
      <c r="C184" s="4" t="s">
        <v>3986</v>
      </c>
      <c r="D184" s="7" t="n">
        <v>2018</v>
      </c>
      <c r="E184" s="4" t="s">
        <v>3996</v>
      </c>
    </row>
    <row r="185" customFormat="false" ht="15" hidden="false" customHeight="false" outlineLevel="0" collapsed="false">
      <c r="A185" s="4" t="s">
        <v>2620</v>
      </c>
      <c r="B185" s="4" t="s">
        <v>4020</v>
      </c>
      <c r="C185" s="4" t="s">
        <v>3998</v>
      </c>
      <c r="D185" s="7" t="n">
        <v>2018</v>
      </c>
      <c r="E185" s="4" t="s">
        <v>3996</v>
      </c>
    </row>
    <row r="186" customFormat="false" ht="15" hidden="false" customHeight="false" outlineLevel="0" collapsed="false">
      <c r="A186" s="4" t="s">
        <v>2659</v>
      </c>
      <c r="B186" s="4" t="s">
        <v>3994</v>
      </c>
      <c r="C186" s="4" t="s">
        <v>3995</v>
      </c>
      <c r="D186" s="7" t="n">
        <v>2019</v>
      </c>
      <c r="E186" s="4" t="s">
        <v>3992</v>
      </c>
    </row>
    <row r="187" customFormat="false" ht="15" hidden="false" customHeight="false" outlineLevel="0" collapsed="false">
      <c r="A187" s="4" t="s">
        <v>2659</v>
      </c>
      <c r="B187" s="4" t="s">
        <v>4016</v>
      </c>
      <c r="C187" s="4" t="s">
        <v>3990</v>
      </c>
      <c r="D187" s="7" t="n">
        <v>2019</v>
      </c>
      <c r="E187" s="4" t="s">
        <v>3996</v>
      </c>
    </row>
    <row r="188" customFormat="false" ht="15" hidden="false" customHeight="false" outlineLevel="0" collapsed="false">
      <c r="A188" s="4" t="s">
        <v>2666</v>
      </c>
      <c r="B188" s="4" t="s">
        <v>4009</v>
      </c>
      <c r="C188" s="4" t="s">
        <v>4000</v>
      </c>
      <c r="D188" s="7" t="n">
        <v>2021</v>
      </c>
      <c r="E188" s="4" t="s">
        <v>4005</v>
      </c>
    </row>
    <row r="189" customFormat="false" ht="15" hidden="false" customHeight="false" outlineLevel="0" collapsed="false">
      <c r="A189" s="4" t="s">
        <v>2693</v>
      </c>
      <c r="B189" s="4" t="s">
        <v>4015</v>
      </c>
      <c r="C189" s="4" t="s">
        <v>3986</v>
      </c>
      <c r="D189" s="7" t="n">
        <v>2021</v>
      </c>
      <c r="E189" s="4" t="s">
        <v>3987</v>
      </c>
    </row>
    <row r="190" customFormat="false" ht="15" hidden="false" customHeight="false" outlineLevel="0" collapsed="false">
      <c r="A190" s="4" t="s">
        <v>2762</v>
      </c>
      <c r="B190" s="4" t="s">
        <v>3997</v>
      </c>
      <c r="C190" s="4" t="s">
        <v>3998</v>
      </c>
      <c r="D190" s="7" t="n">
        <v>2021</v>
      </c>
      <c r="E190" s="4" t="s">
        <v>4003</v>
      </c>
    </row>
    <row r="191" customFormat="false" ht="15" hidden="false" customHeight="false" outlineLevel="0" collapsed="false">
      <c r="A191" s="4" t="s">
        <v>2784</v>
      </c>
      <c r="B191" s="4" t="s">
        <v>4008</v>
      </c>
      <c r="C191" s="4" t="s">
        <v>4000</v>
      </c>
      <c r="D191" s="7" t="n">
        <v>2020</v>
      </c>
      <c r="E191" s="4" t="s">
        <v>4004</v>
      </c>
    </row>
    <row r="192" customFormat="false" ht="15" hidden="false" customHeight="false" outlineLevel="0" collapsed="false">
      <c r="A192" s="4" t="s">
        <v>2798</v>
      </c>
      <c r="B192" s="4" t="s">
        <v>4009</v>
      </c>
      <c r="C192" s="4" t="s">
        <v>4000</v>
      </c>
      <c r="D192" s="7" t="n">
        <v>2021</v>
      </c>
      <c r="E192" s="4" t="s">
        <v>4004</v>
      </c>
    </row>
    <row r="193" customFormat="false" ht="15" hidden="false" customHeight="false" outlineLevel="0" collapsed="false">
      <c r="A193" s="4" t="s">
        <v>2805</v>
      </c>
      <c r="B193" s="4" t="s">
        <v>3994</v>
      </c>
      <c r="C193" s="4" t="s">
        <v>3995</v>
      </c>
      <c r="D193" s="7" t="n">
        <v>2018</v>
      </c>
      <c r="E193" s="4" t="s">
        <v>4005</v>
      </c>
    </row>
    <row r="194" customFormat="false" ht="15" hidden="false" customHeight="false" outlineLevel="0" collapsed="false">
      <c r="A194" s="4" t="s">
        <v>2819</v>
      </c>
      <c r="B194" s="4" t="s">
        <v>4021</v>
      </c>
      <c r="C194" s="4" t="s">
        <v>3998</v>
      </c>
      <c r="D194" s="7" t="n">
        <v>2018</v>
      </c>
      <c r="E194" s="4" t="s">
        <v>4004</v>
      </c>
    </row>
    <row r="195" customFormat="false" ht="15" hidden="false" customHeight="false" outlineLevel="0" collapsed="false">
      <c r="A195" s="4" t="s">
        <v>2856</v>
      </c>
      <c r="B195" s="4" t="s">
        <v>4012</v>
      </c>
      <c r="C195" s="4" t="s">
        <v>3986</v>
      </c>
      <c r="D195" s="7" t="n">
        <v>2024</v>
      </c>
      <c r="E195" s="4" t="s">
        <v>4005</v>
      </c>
    </row>
    <row r="196" customFormat="false" ht="15" hidden="false" customHeight="false" outlineLevel="0" collapsed="false">
      <c r="A196" s="4" t="s">
        <v>2864</v>
      </c>
      <c r="B196" s="4" t="s">
        <v>4016</v>
      </c>
      <c r="C196" s="4" t="s">
        <v>3990</v>
      </c>
      <c r="D196" s="7" t="n">
        <v>2022</v>
      </c>
      <c r="E196" s="4" t="s">
        <v>4005</v>
      </c>
    </row>
    <row r="197" customFormat="false" ht="15" hidden="false" customHeight="false" outlineLevel="0" collapsed="false">
      <c r="A197" s="4" t="s">
        <v>2880</v>
      </c>
      <c r="B197" s="4" t="s">
        <v>4008</v>
      </c>
      <c r="C197" s="4" t="s">
        <v>4000</v>
      </c>
      <c r="D197" s="7" t="n">
        <v>2023</v>
      </c>
      <c r="E197" s="4" t="s">
        <v>3984</v>
      </c>
    </row>
    <row r="198" customFormat="false" ht="15" hidden="false" customHeight="false" outlineLevel="0" collapsed="false">
      <c r="A198" s="4" t="s">
        <v>2895</v>
      </c>
      <c r="B198" s="4" t="s">
        <v>4018</v>
      </c>
      <c r="C198" s="4" t="s">
        <v>3986</v>
      </c>
      <c r="D198" s="7" t="n">
        <v>2023</v>
      </c>
      <c r="E198" s="4" t="s">
        <v>4004</v>
      </c>
    </row>
    <row r="199" customFormat="false" ht="15" hidden="false" customHeight="false" outlineLevel="0" collapsed="false">
      <c r="A199" s="4" t="s">
        <v>2895</v>
      </c>
      <c r="B199" s="4" t="s">
        <v>3988</v>
      </c>
      <c r="C199" s="4" t="s">
        <v>3983</v>
      </c>
      <c r="D199" s="7" t="n">
        <v>2021</v>
      </c>
      <c r="E199" s="4" t="s">
        <v>4004</v>
      </c>
    </row>
    <row r="200" customFormat="false" ht="15" hidden="false" customHeight="false" outlineLevel="0" collapsed="false">
      <c r="A200" s="4" t="s">
        <v>2910</v>
      </c>
      <c r="B200" s="4" t="s">
        <v>3985</v>
      </c>
      <c r="C200" s="4" t="s">
        <v>3986</v>
      </c>
      <c r="D200" s="7" t="n">
        <v>2024</v>
      </c>
      <c r="E200" s="4" t="s">
        <v>3996</v>
      </c>
    </row>
    <row r="201" customFormat="false" ht="15" hidden="false" customHeight="false" outlineLevel="0" collapsed="false">
      <c r="A201" s="4" t="s">
        <v>2925</v>
      </c>
      <c r="B201" s="4" t="s">
        <v>4011</v>
      </c>
      <c r="C201" s="4" t="s">
        <v>4000</v>
      </c>
      <c r="D201" s="7" t="n">
        <v>2022</v>
      </c>
      <c r="E201" s="4" t="s">
        <v>4003</v>
      </c>
    </row>
    <row r="202" customFormat="false" ht="15" hidden="false" customHeight="false" outlineLevel="0" collapsed="false">
      <c r="A202" s="4" t="s">
        <v>2925</v>
      </c>
      <c r="B202" s="4" t="s">
        <v>3988</v>
      </c>
      <c r="C202" s="4" t="s">
        <v>3983</v>
      </c>
      <c r="D202" s="7" t="n">
        <v>2022</v>
      </c>
      <c r="E202" s="4" t="s">
        <v>4003</v>
      </c>
    </row>
    <row r="203" customFormat="false" ht="15" hidden="false" customHeight="false" outlineLevel="0" collapsed="false">
      <c r="A203" s="4" t="s">
        <v>2953</v>
      </c>
      <c r="B203" s="4" t="s">
        <v>4009</v>
      </c>
      <c r="C203" s="4" t="s">
        <v>4000</v>
      </c>
      <c r="D203" s="7" t="n">
        <v>2020</v>
      </c>
      <c r="E203" s="4" t="s">
        <v>3984</v>
      </c>
    </row>
    <row r="204" customFormat="false" ht="15" hidden="false" customHeight="false" outlineLevel="0" collapsed="false">
      <c r="A204" s="4" t="s">
        <v>2967</v>
      </c>
      <c r="B204" s="4" t="s">
        <v>4016</v>
      </c>
      <c r="C204" s="4" t="s">
        <v>3990</v>
      </c>
      <c r="D204" s="7" t="n">
        <v>2021</v>
      </c>
      <c r="E204" s="4" t="s">
        <v>3996</v>
      </c>
    </row>
    <row r="205" customFormat="false" ht="15" hidden="false" customHeight="false" outlineLevel="0" collapsed="false">
      <c r="A205" s="4" t="s">
        <v>2983</v>
      </c>
      <c r="B205" s="4" t="s">
        <v>4012</v>
      </c>
      <c r="C205" s="4" t="s">
        <v>3986</v>
      </c>
      <c r="D205" s="7" t="n">
        <v>2020</v>
      </c>
      <c r="E205" s="4" t="s">
        <v>4005</v>
      </c>
    </row>
    <row r="206" customFormat="false" ht="15" hidden="false" customHeight="false" outlineLevel="0" collapsed="false">
      <c r="A206" s="4" t="s">
        <v>3006</v>
      </c>
      <c r="B206" s="4" t="s">
        <v>3994</v>
      </c>
      <c r="C206" s="4" t="s">
        <v>3995</v>
      </c>
      <c r="D206" s="7" t="n">
        <v>2020</v>
      </c>
      <c r="E206" s="4" t="s">
        <v>4007</v>
      </c>
    </row>
    <row r="207" customFormat="false" ht="15" hidden="false" customHeight="false" outlineLevel="0" collapsed="false">
      <c r="A207" s="4" t="s">
        <v>3021</v>
      </c>
      <c r="B207" s="4" t="s">
        <v>4018</v>
      </c>
      <c r="C207" s="4" t="s">
        <v>3986</v>
      </c>
      <c r="D207" s="7" t="n">
        <v>2024</v>
      </c>
      <c r="E207" s="4" t="s">
        <v>3992</v>
      </c>
    </row>
    <row r="208" customFormat="false" ht="15" hidden="false" customHeight="false" outlineLevel="0" collapsed="false">
      <c r="A208" s="4" t="s">
        <v>3037</v>
      </c>
      <c r="B208" s="4" t="s">
        <v>3999</v>
      </c>
      <c r="C208" s="4" t="s">
        <v>4000</v>
      </c>
      <c r="D208" s="7" t="n">
        <v>2021</v>
      </c>
      <c r="E208" s="4" t="s">
        <v>4007</v>
      </c>
    </row>
    <row r="209" customFormat="false" ht="15" hidden="false" customHeight="false" outlineLevel="0" collapsed="false">
      <c r="A209" s="4" t="s">
        <v>3052</v>
      </c>
      <c r="B209" s="4" t="s">
        <v>4014</v>
      </c>
      <c r="C209" s="4" t="s">
        <v>4000</v>
      </c>
      <c r="D209" s="7" t="n">
        <v>2022</v>
      </c>
      <c r="E209" s="4" t="s">
        <v>4005</v>
      </c>
    </row>
    <row r="210" customFormat="false" ht="15" hidden="false" customHeight="false" outlineLevel="0" collapsed="false">
      <c r="A210" s="4" t="s">
        <v>3052</v>
      </c>
      <c r="B210" s="4" t="s">
        <v>4016</v>
      </c>
      <c r="C210" s="4" t="s">
        <v>3990</v>
      </c>
      <c r="D210" s="7" t="n">
        <v>2020</v>
      </c>
      <c r="E210" s="4" t="s">
        <v>4007</v>
      </c>
    </row>
    <row r="211" customFormat="false" ht="15" hidden="false" customHeight="false" outlineLevel="0" collapsed="false">
      <c r="A211" s="4" t="s">
        <v>3059</v>
      </c>
      <c r="B211" s="4" t="s">
        <v>3991</v>
      </c>
      <c r="C211" s="4" t="s">
        <v>3990</v>
      </c>
      <c r="D211" s="7" t="n">
        <v>2025</v>
      </c>
      <c r="E211" s="4" t="s">
        <v>3987</v>
      </c>
    </row>
    <row r="212" customFormat="false" ht="15" hidden="false" customHeight="false" outlineLevel="0" collapsed="false">
      <c r="A212" s="4" t="s">
        <v>3059</v>
      </c>
      <c r="B212" s="4" t="s">
        <v>3988</v>
      </c>
      <c r="C212" s="4" t="s">
        <v>3983</v>
      </c>
      <c r="D212" s="7" t="n">
        <v>2025</v>
      </c>
      <c r="E212" s="4" t="s">
        <v>3993</v>
      </c>
    </row>
    <row r="213" customFormat="false" ht="15" hidden="false" customHeight="false" outlineLevel="0" collapsed="false">
      <c r="A213" s="4" t="s">
        <v>3067</v>
      </c>
      <c r="B213" s="4" t="s">
        <v>4008</v>
      </c>
      <c r="C213" s="4" t="s">
        <v>4000</v>
      </c>
      <c r="D213" s="7" t="n">
        <v>2019</v>
      </c>
      <c r="E213" s="4" t="s">
        <v>4004</v>
      </c>
    </row>
    <row r="214" customFormat="false" ht="15" hidden="false" customHeight="false" outlineLevel="0" collapsed="false">
      <c r="A214" s="4" t="s">
        <v>3075</v>
      </c>
      <c r="B214" s="4" t="s">
        <v>4016</v>
      </c>
      <c r="C214" s="4" t="s">
        <v>3990</v>
      </c>
      <c r="D214" s="7" t="n">
        <v>2025</v>
      </c>
      <c r="E214" s="4" t="s">
        <v>3996</v>
      </c>
    </row>
    <row r="215" customFormat="false" ht="15" hidden="false" customHeight="false" outlineLevel="0" collapsed="false">
      <c r="A215" s="4" t="s">
        <v>3075</v>
      </c>
      <c r="B215" s="4" t="s">
        <v>3994</v>
      </c>
      <c r="C215" s="4" t="s">
        <v>3995</v>
      </c>
      <c r="D215" s="7" t="n">
        <v>2024</v>
      </c>
      <c r="E215" s="4" t="s">
        <v>4005</v>
      </c>
    </row>
    <row r="216" customFormat="false" ht="15" hidden="false" customHeight="false" outlineLevel="0" collapsed="false">
      <c r="A216" s="4" t="s">
        <v>3083</v>
      </c>
      <c r="B216" s="4" t="s">
        <v>4010</v>
      </c>
      <c r="C216" s="4" t="s">
        <v>3998</v>
      </c>
      <c r="D216" s="7" t="n">
        <v>2024</v>
      </c>
      <c r="E216" s="4" t="s">
        <v>4003</v>
      </c>
    </row>
    <row r="217" customFormat="false" ht="15" hidden="false" customHeight="false" outlineLevel="0" collapsed="false">
      <c r="A217" s="4" t="s">
        <v>3090</v>
      </c>
      <c r="B217" s="4" t="s">
        <v>4001</v>
      </c>
      <c r="C217" s="4" t="s">
        <v>4002</v>
      </c>
      <c r="D217" s="7" t="n">
        <v>2019</v>
      </c>
      <c r="E217" s="4" t="s">
        <v>4004</v>
      </c>
    </row>
    <row r="218" customFormat="false" ht="15" hidden="false" customHeight="false" outlineLevel="0" collapsed="false">
      <c r="A218" s="4" t="s">
        <v>3106</v>
      </c>
      <c r="B218" s="4" t="s">
        <v>4019</v>
      </c>
      <c r="C218" s="4" t="s">
        <v>3983</v>
      </c>
      <c r="D218" s="7" t="n">
        <v>2021</v>
      </c>
      <c r="E218" s="4" t="s">
        <v>4003</v>
      </c>
    </row>
    <row r="219" customFormat="false" ht="15" hidden="false" customHeight="false" outlineLevel="0" collapsed="false">
      <c r="A219" s="4" t="s">
        <v>3106</v>
      </c>
      <c r="B219" s="4" t="s">
        <v>4016</v>
      </c>
      <c r="C219" s="4" t="s">
        <v>3990</v>
      </c>
      <c r="D219" s="7" t="n">
        <v>2019</v>
      </c>
      <c r="E219" s="4" t="s">
        <v>4003</v>
      </c>
    </row>
    <row r="220" customFormat="false" ht="15" hidden="false" customHeight="false" outlineLevel="0" collapsed="false">
      <c r="A220" s="4" t="s">
        <v>3137</v>
      </c>
      <c r="B220" s="4" t="s">
        <v>4011</v>
      </c>
      <c r="C220" s="4" t="s">
        <v>4000</v>
      </c>
      <c r="D220" s="7" t="n">
        <v>2020</v>
      </c>
      <c r="E220" s="4" t="s">
        <v>3984</v>
      </c>
    </row>
    <row r="221" customFormat="false" ht="15" hidden="false" customHeight="false" outlineLevel="0" collapsed="false">
      <c r="A221" s="4" t="s">
        <v>3151</v>
      </c>
      <c r="B221" s="4" t="s">
        <v>4001</v>
      </c>
      <c r="C221" s="4" t="s">
        <v>4002</v>
      </c>
      <c r="D221" s="7" t="n">
        <v>2020</v>
      </c>
      <c r="E221" s="4" t="s">
        <v>4004</v>
      </c>
    </row>
    <row r="222" customFormat="false" ht="15" hidden="false" customHeight="false" outlineLevel="0" collapsed="false">
      <c r="A222" s="4" t="s">
        <v>3183</v>
      </c>
      <c r="B222" s="4" t="s">
        <v>4009</v>
      </c>
      <c r="C222" s="4" t="s">
        <v>4000</v>
      </c>
      <c r="D222" s="7" t="n">
        <v>2018</v>
      </c>
      <c r="E222" s="4" t="s">
        <v>3987</v>
      </c>
    </row>
    <row r="223" customFormat="false" ht="15" hidden="false" customHeight="false" outlineLevel="0" collapsed="false">
      <c r="A223" s="4" t="s">
        <v>3191</v>
      </c>
      <c r="B223" s="4" t="s">
        <v>4013</v>
      </c>
      <c r="C223" s="4" t="s">
        <v>3998</v>
      </c>
      <c r="D223" s="7" t="n">
        <v>2021</v>
      </c>
      <c r="E223" s="4" t="s">
        <v>3992</v>
      </c>
    </row>
    <row r="224" customFormat="false" ht="15" hidden="false" customHeight="false" outlineLevel="0" collapsed="false">
      <c r="A224" s="4" t="s">
        <v>3234</v>
      </c>
      <c r="B224" s="4" t="s">
        <v>4016</v>
      </c>
      <c r="C224" s="4" t="s">
        <v>3990</v>
      </c>
      <c r="D224" s="7" t="n">
        <v>2020</v>
      </c>
      <c r="E224" s="4" t="s">
        <v>3992</v>
      </c>
    </row>
    <row r="225" customFormat="false" ht="15" hidden="false" customHeight="false" outlineLevel="0" collapsed="false">
      <c r="A225" s="4" t="s">
        <v>3248</v>
      </c>
      <c r="B225" s="4" t="s">
        <v>4011</v>
      </c>
      <c r="C225" s="4" t="s">
        <v>4000</v>
      </c>
      <c r="D225" s="7" t="n">
        <v>2021</v>
      </c>
      <c r="E225" s="4" t="s">
        <v>4003</v>
      </c>
    </row>
    <row r="226" customFormat="false" ht="15" hidden="false" customHeight="false" outlineLevel="0" collapsed="false">
      <c r="A226" s="4" t="s">
        <v>3256</v>
      </c>
      <c r="B226" s="4" t="s">
        <v>4021</v>
      </c>
      <c r="C226" s="4" t="s">
        <v>3998</v>
      </c>
      <c r="D226" s="7" t="n">
        <v>2023</v>
      </c>
      <c r="E226" s="4" t="s">
        <v>4003</v>
      </c>
    </row>
    <row r="227" customFormat="false" ht="15" hidden="false" customHeight="false" outlineLevel="0" collapsed="false">
      <c r="A227" s="4" t="s">
        <v>3295</v>
      </c>
      <c r="B227" s="4" t="s">
        <v>4018</v>
      </c>
      <c r="C227" s="4" t="s">
        <v>3986</v>
      </c>
      <c r="D227" s="7" t="n">
        <v>2022</v>
      </c>
      <c r="E227" s="4" t="s">
        <v>4004</v>
      </c>
    </row>
    <row r="228" customFormat="false" ht="15" hidden="false" customHeight="false" outlineLevel="0" collapsed="false">
      <c r="A228" s="4" t="s">
        <v>3303</v>
      </c>
      <c r="B228" s="4" t="s">
        <v>3999</v>
      </c>
      <c r="C228" s="4" t="s">
        <v>4000</v>
      </c>
      <c r="D228" s="7" t="n">
        <v>2020</v>
      </c>
      <c r="E228" s="4" t="s">
        <v>3984</v>
      </c>
    </row>
    <row r="229" customFormat="false" ht="15" hidden="false" customHeight="false" outlineLevel="0" collapsed="false">
      <c r="A229" s="4" t="s">
        <v>3318</v>
      </c>
      <c r="B229" s="4" t="s">
        <v>4021</v>
      </c>
      <c r="C229" s="4" t="s">
        <v>3998</v>
      </c>
      <c r="D229" s="7" t="n">
        <v>2020</v>
      </c>
      <c r="E229" s="4" t="s">
        <v>4005</v>
      </c>
    </row>
    <row r="230" customFormat="false" ht="15" hidden="false" customHeight="false" outlineLevel="0" collapsed="false">
      <c r="A230" s="4" t="s">
        <v>3347</v>
      </c>
      <c r="B230" s="4" t="s">
        <v>4013</v>
      </c>
      <c r="C230" s="4" t="s">
        <v>3998</v>
      </c>
      <c r="D230" s="7" t="n">
        <v>2024</v>
      </c>
      <c r="E230" s="4" t="s">
        <v>3987</v>
      </c>
    </row>
    <row r="231" customFormat="false" ht="15" hidden="false" customHeight="false" outlineLevel="0" collapsed="false">
      <c r="A231" s="4" t="s">
        <v>3347</v>
      </c>
      <c r="B231" s="4" t="s">
        <v>3994</v>
      </c>
      <c r="C231" s="4" t="s">
        <v>3995</v>
      </c>
      <c r="D231" s="7" t="n">
        <v>2020</v>
      </c>
      <c r="E231" s="4" t="s">
        <v>4005</v>
      </c>
    </row>
    <row r="232" customFormat="false" ht="15" hidden="false" customHeight="false" outlineLevel="0" collapsed="false">
      <c r="A232" s="4" t="s">
        <v>3354</v>
      </c>
      <c r="B232" s="4" t="s">
        <v>4010</v>
      </c>
      <c r="C232" s="4" t="s">
        <v>3998</v>
      </c>
      <c r="D232" s="7" t="n">
        <v>2017</v>
      </c>
      <c r="E232" s="4" t="s">
        <v>3984</v>
      </c>
    </row>
    <row r="233" customFormat="false" ht="15" hidden="false" customHeight="false" outlineLevel="0" collapsed="false">
      <c r="A233" s="4" t="s">
        <v>3362</v>
      </c>
      <c r="B233" s="4" t="s">
        <v>4017</v>
      </c>
      <c r="C233" s="4" t="s">
        <v>3983</v>
      </c>
      <c r="D233" s="7" t="n">
        <v>2018</v>
      </c>
      <c r="E233" s="4" t="s">
        <v>4004</v>
      </c>
    </row>
    <row r="234" customFormat="false" ht="15" hidden="false" customHeight="false" outlineLevel="0" collapsed="false">
      <c r="A234" s="4" t="s">
        <v>3369</v>
      </c>
      <c r="B234" s="4" t="s">
        <v>3997</v>
      </c>
      <c r="C234" s="4" t="s">
        <v>3998</v>
      </c>
      <c r="D234" s="7" t="n">
        <v>2016</v>
      </c>
      <c r="E234" s="4" t="s">
        <v>4003</v>
      </c>
    </row>
    <row r="235" customFormat="false" ht="15" hidden="false" customHeight="false" outlineLevel="0" collapsed="false">
      <c r="A235" s="4" t="s">
        <v>3377</v>
      </c>
      <c r="B235" s="4" t="s">
        <v>4001</v>
      </c>
      <c r="C235" s="4" t="s">
        <v>4002</v>
      </c>
      <c r="D235" s="7" t="n">
        <v>2022</v>
      </c>
      <c r="E235" s="4" t="s">
        <v>3992</v>
      </c>
    </row>
    <row r="236" customFormat="false" ht="15" hidden="false" customHeight="false" outlineLevel="0" collapsed="false">
      <c r="A236" s="4" t="s">
        <v>3399</v>
      </c>
      <c r="B236" s="4" t="s">
        <v>4010</v>
      </c>
      <c r="C236" s="4" t="s">
        <v>3998</v>
      </c>
      <c r="D236" s="7" t="n">
        <v>2022</v>
      </c>
      <c r="E236" s="4" t="s">
        <v>3987</v>
      </c>
    </row>
    <row r="237" customFormat="false" ht="15" hidden="false" customHeight="false" outlineLevel="0" collapsed="false">
      <c r="A237" s="4" t="s">
        <v>3406</v>
      </c>
      <c r="B237" s="4" t="s">
        <v>3985</v>
      </c>
      <c r="C237" s="4" t="s">
        <v>3986</v>
      </c>
      <c r="D237" s="7" t="n">
        <v>2021</v>
      </c>
      <c r="E237" s="4" t="s">
        <v>4007</v>
      </c>
    </row>
    <row r="238" customFormat="false" ht="15" hidden="false" customHeight="false" outlineLevel="0" collapsed="false">
      <c r="A238" s="4" t="s">
        <v>3414</v>
      </c>
      <c r="B238" s="4" t="s">
        <v>3989</v>
      </c>
      <c r="C238" s="4" t="s">
        <v>3990</v>
      </c>
      <c r="D238" s="7" t="n">
        <v>2018</v>
      </c>
      <c r="E238" s="4" t="s">
        <v>3993</v>
      </c>
    </row>
    <row r="239" customFormat="false" ht="15" hidden="false" customHeight="false" outlineLevel="0" collapsed="false">
      <c r="A239" s="4" t="s">
        <v>3429</v>
      </c>
      <c r="B239" s="4" t="s">
        <v>3982</v>
      </c>
      <c r="C239" s="4" t="s">
        <v>3983</v>
      </c>
      <c r="D239" s="7" t="n">
        <v>2020</v>
      </c>
      <c r="E239" s="4" t="s">
        <v>4007</v>
      </c>
    </row>
    <row r="240" customFormat="false" ht="15" hidden="false" customHeight="false" outlineLevel="0" collapsed="false">
      <c r="A240" s="4" t="s">
        <v>3468</v>
      </c>
      <c r="B240" s="4" t="s">
        <v>4021</v>
      </c>
      <c r="C240" s="4" t="s">
        <v>3998</v>
      </c>
      <c r="D240" s="7" t="n">
        <v>2024</v>
      </c>
      <c r="E240" s="4" t="s">
        <v>3992</v>
      </c>
    </row>
    <row r="241" customFormat="false" ht="15" hidden="false" customHeight="false" outlineLevel="0" collapsed="false">
      <c r="A241" s="4" t="s">
        <v>3468</v>
      </c>
      <c r="B241" s="4" t="s">
        <v>4016</v>
      </c>
      <c r="C241" s="4" t="s">
        <v>3990</v>
      </c>
      <c r="D241" s="7" t="n">
        <v>2022</v>
      </c>
      <c r="E241" s="4" t="s">
        <v>3984</v>
      </c>
    </row>
    <row r="242" customFormat="false" ht="15" hidden="false" customHeight="false" outlineLevel="0" collapsed="false">
      <c r="A242" s="4" t="s">
        <v>3491</v>
      </c>
      <c r="B242" s="4" t="s">
        <v>4016</v>
      </c>
      <c r="C242" s="4" t="s">
        <v>3990</v>
      </c>
      <c r="D242" s="7" t="n">
        <v>2017</v>
      </c>
      <c r="E242" s="4" t="s">
        <v>4003</v>
      </c>
    </row>
    <row r="243" customFormat="false" ht="15" hidden="false" customHeight="false" outlineLevel="0" collapsed="false">
      <c r="A243" s="4" t="s">
        <v>3491</v>
      </c>
      <c r="B243" s="4" t="s">
        <v>4020</v>
      </c>
      <c r="C243" s="4" t="s">
        <v>3998</v>
      </c>
      <c r="D243" s="7" t="n">
        <v>2017</v>
      </c>
      <c r="E243" s="4" t="s">
        <v>4003</v>
      </c>
    </row>
    <row r="244" customFormat="false" ht="15" hidden="false" customHeight="false" outlineLevel="0" collapsed="false">
      <c r="A244" s="4" t="s">
        <v>3497</v>
      </c>
      <c r="B244" s="4" t="s">
        <v>4009</v>
      </c>
      <c r="C244" s="4" t="s">
        <v>4000</v>
      </c>
      <c r="D244" s="7" t="n">
        <v>2024</v>
      </c>
      <c r="E244" s="4" t="s">
        <v>3993</v>
      </c>
    </row>
    <row r="245" customFormat="false" ht="15" hidden="false" customHeight="false" outlineLevel="0" collapsed="false">
      <c r="A245" s="4" t="s">
        <v>3497</v>
      </c>
      <c r="B245" s="4" t="s">
        <v>3994</v>
      </c>
      <c r="C245" s="4" t="s">
        <v>3995</v>
      </c>
      <c r="D245" s="7" t="n">
        <v>2023</v>
      </c>
      <c r="E245" s="4" t="s">
        <v>4003</v>
      </c>
    </row>
    <row r="246" customFormat="false" ht="15" hidden="false" customHeight="false" outlineLevel="0" collapsed="false">
      <c r="A246" s="4" t="s">
        <v>3505</v>
      </c>
      <c r="B246" s="4" t="s">
        <v>4001</v>
      </c>
      <c r="C246" s="4" t="s">
        <v>4002</v>
      </c>
      <c r="D246" s="7" t="n">
        <v>2019</v>
      </c>
      <c r="E246" s="4" t="s">
        <v>3993</v>
      </c>
    </row>
    <row r="247" customFormat="false" ht="15" hidden="false" customHeight="false" outlineLevel="0" collapsed="false">
      <c r="A247" s="4" t="s">
        <v>3513</v>
      </c>
      <c r="B247" s="4" t="s">
        <v>4001</v>
      </c>
      <c r="C247" s="4" t="s">
        <v>4002</v>
      </c>
      <c r="D247" s="7" t="n">
        <v>2019</v>
      </c>
      <c r="E247" s="4" t="s">
        <v>3987</v>
      </c>
    </row>
    <row r="248" customFormat="false" ht="15" hidden="false" customHeight="false" outlineLevel="0" collapsed="false">
      <c r="A248" s="4" t="s">
        <v>3513</v>
      </c>
      <c r="B248" s="4" t="s">
        <v>3985</v>
      </c>
      <c r="C248" s="4" t="s">
        <v>3986</v>
      </c>
      <c r="D248" s="7" t="n">
        <v>2019</v>
      </c>
      <c r="E248" s="4" t="s">
        <v>4007</v>
      </c>
    </row>
    <row r="249" customFormat="false" ht="15" hidden="false" customHeight="false" outlineLevel="0" collapsed="false">
      <c r="A249" s="4" t="s">
        <v>3520</v>
      </c>
      <c r="B249" s="4" t="s">
        <v>4013</v>
      </c>
      <c r="C249" s="4" t="s">
        <v>3998</v>
      </c>
      <c r="D249" s="7" t="n">
        <v>2020</v>
      </c>
      <c r="E249" s="4" t="s">
        <v>4007</v>
      </c>
    </row>
    <row r="250" customFormat="false" ht="15" hidden="false" customHeight="false" outlineLevel="0" collapsed="false">
      <c r="A250" s="4" t="s">
        <v>3527</v>
      </c>
      <c r="B250" s="4" t="s">
        <v>4001</v>
      </c>
      <c r="C250" s="4" t="s">
        <v>4002</v>
      </c>
      <c r="D250" s="7" t="n">
        <v>2021</v>
      </c>
      <c r="E250" s="4" t="s">
        <v>4003</v>
      </c>
    </row>
    <row r="251" customFormat="false" ht="15" hidden="false" customHeight="false" outlineLevel="0" collapsed="false">
      <c r="A251" s="4" t="s">
        <v>3553</v>
      </c>
      <c r="B251" s="4" t="s">
        <v>3994</v>
      </c>
      <c r="C251" s="4" t="s">
        <v>3995</v>
      </c>
      <c r="D251" s="7" t="n">
        <v>2020</v>
      </c>
      <c r="E251" s="4" t="s">
        <v>4005</v>
      </c>
    </row>
    <row r="252" customFormat="false" ht="15" hidden="false" customHeight="false" outlineLevel="0" collapsed="false">
      <c r="A252" s="4" t="s">
        <v>3592</v>
      </c>
      <c r="B252" s="4" t="s">
        <v>3994</v>
      </c>
      <c r="C252" s="4" t="s">
        <v>3995</v>
      </c>
      <c r="D252" s="7" t="n">
        <v>2020</v>
      </c>
      <c r="E252" s="4" t="s">
        <v>3984</v>
      </c>
    </row>
    <row r="253" customFormat="false" ht="15" hidden="false" customHeight="false" outlineLevel="0" collapsed="false">
      <c r="A253" s="4" t="s">
        <v>3592</v>
      </c>
      <c r="B253" s="4" t="s">
        <v>4014</v>
      </c>
      <c r="C253" s="4" t="s">
        <v>4000</v>
      </c>
      <c r="D253" s="7" t="n">
        <v>2022</v>
      </c>
      <c r="E253" s="4" t="s">
        <v>3996</v>
      </c>
    </row>
    <row r="254" customFormat="false" ht="15" hidden="false" customHeight="false" outlineLevel="0" collapsed="false">
      <c r="A254" s="4" t="s">
        <v>3600</v>
      </c>
      <c r="B254" s="4" t="s">
        <v>4001</v>
      </c>
      <c r="C254" s="4" t="s">
        <v>4002</v>
      </c>
      <c r="D254" s="7" t="n">
        <v>2022</v>
      </c>
      <c r="E254" s="4" t="s">
        <v>3992</v>
      </c>
    </row>
    <row r="255" customFormat="false" ht="15" hidden="false" customHeight="false" outlineLevel="0" collapsed="false">
      <c r="A255" s="4" t="s">
        <v>3600</v>
      </c>
      <c r="B255" s="4" t="s">
        <v>4013</v>
      </c>
      <c r="C255" s="4" t="s">
        <v>3998</v>
      </c>
      <c r="D255" s="7" t="n">
        <v>2023</v>
      </c>
      <c r="E255" s="4" t="s">
        <v>3984</v>
      </c>
    </row>
    <row r="256" customFormat="false" ht="15" hidden="false" customHeight="false" outlineLevel="0" collapsed="false">
      <c r="A256" s="4" t="s">
        <v>3629</v>
      </c>
      <c r="B256" s="4" t="s">
        <v>3988</v>
      </c>
      <c r="C256" s="4" t="s">
        <v>3983</v>
      </c>
      <c r="D256" s="7" t="n">
        <v>2019</v>
      </c>
      <c r="E256" s="4" t="s">
        <v>3987</v>
      </c>
    </row>
    <row r="257" customFormat="false" ht="15" hidden="false" customHeight="false" outlineLevel="0" collapsed="false">
      <c r="A257" s="4" t="s">
        <v>3637</v>
      </c>
      <c r="B257" s="4" t="s">
        <v>3988</v>
      </c>
      <c r="C257" s="4" t="s">
        <v>3983</v>
      </c>
      <c r="D257" s="7" t="n">
        <v>2018</v>
      </c>
      <c r="E257" s="4" t="s">
        <v>3992</v>
      </c>
    </row>
    <row r="258" customFormat="false" ht="15" hidden="false" customHeight="false" outlineLevel="0" collapsed="false">
      <c r="A258" s="4" t="s">
        <v>3658</v>
      </c>
      <c r="B258" s="4" t="s">
        <v>4014</v>
      </c>
      <c r="C258" s="4" t="s">
        <v>4000</v>
      </c>
      <c r="D258" s="7" t="n">
        <v>2018</v>
      </c>
      <c r="E258" s="4" t="s">
        <v>4005</v>
      </c>
    </row>
    <row r="259" customFormat="false" ht="15" hidden="false" customHeight="false" outlineLevel="0" collapsed="false">
      <c r="A259" s="4" t="s">
        <v>3687</v>
      </c>
      <c r="B259" s="4" t="s">
        <v>4014</v>
      </c>
      <c r="C259" s="4" t="s">
        <v>4000</v>
      </c>
      <c r="D259" s="7" t="n">
        <v>2020</v>
      </c>
      <c r="E259" s="4" t="s">
        <v>4007</v>
      </c>
    </row>
    <row r="260" customFormat="false" ht="15" hidden="false" customHeight="false" outlineLevel="0" collapsed="false">
      <c r="A260" s="4" t="s">
        <v>3702</v>
      </c>
      <c r="B260" s="4" t="s">
        <v>4001</v>
      </c>
      <c r="C260" s="4" t="s">
        <v>4002</v>
      </c>
      <c r="D260" s="7" t="n">
        <v>2019</v>
      </c>
      <c r="E260" s="4" t="s">
        <v>3996</v>
      </c>
    </row>
    <row r="261" customFormat="false" ht="15" hidden="false" customHeight="false" outlineLevel="0" collapsed="false">
      <c r="A261" s="4" t="s">
        <v>3710</v>
      </c>
      <c r="B261" s="4" t="s">
        <v>4001</v>
      </c>
      <c r="C261" s="4" t="s">
        <v>4002</v>
      </c>
      <c r="D261" s="7" t="n">
        <v>2017</v>
      </c>
      <c r="E261" s="4" t="s">
        <v>4007</v>
      </c>
    </row>
    <row r="262" customFormat="false" ht="15" hidden="false" customHeight="false" outlineLevel="0" collapsed="false">
      <c r="A262" s="4" t="s">
        <v>3718</v>
      </c>
      <c r="B262" s="4" t="s">
        <v>3994</v>
      </c>
      <c r="C262" s="4" t="s">
        <v>3995</v>
      </c>
      <c r="D262" s="7" t="n">
        <v>2020</v>
      </c>
      <c r="E262" s="4" t="s">
        <v>4007</v>
      </c>
    </row>
    <row r="263" customFormat="false" ht="15" hidden="false" customHeight="false" outlineLevel="0" collapsed="false">
      <c r="A263" s="4" t="s">
        <v>3748</v>
      </c>
      <c r="B263" s="4" t="s">
        <v>4001</v>
      </c>
      <c r="C263" s="4" t="s">
        <v>4002</v>
      </c>
      <c r="D263" s="7" t="n">
        <v>2021</v>
      </c>
      <c r="E263" s="4" t="s">
        <v>4007</v>
      </c>
    </row>
    <row r="264" customFormat="false" ht="15" hidden="false" customHeight="false" outlineLevel="0" collapsed="false">
      <c r="A264" s="4" t="s">
        <v>3777</v>
      </c>
      <c r="B264" s="4" t="s">
        <v>4010</v>
      </c>
      <c r="C264" s="4" t="s">
        <v>3998</v>
      </c>
      <c r="D264" s="7" t="n">
        <v>2021</v>
      </c>
      <c r="E264" s="4" t="s">
        <v>4005</v>
      </c>
    </row>
    <row r="265" customFormat="false" ht="15" hidden="false" customHeight="false" outlineLevel="0" collapsed="false">
      <c r="A265" s="4" t="s">
        <v>3777</v>
      </c>
      <c r="B265" s="4" t="s">
        <v>4001</v>
      </c>
      <c r="C265" s="4" t="s">
        <v>4002</v>
      </c>
      <c r="D265" s="7" t="n">
        <v>2020</v>
      </c>
      <c r="E265" s="4" t="s">
        <v>4007</v>
      </c>
    </row>
    <row r="266" customFormat="false" ht="15" hidden="false" customHeight="false" outlineLevel="0" collapsed="false">
      <c r="A266" s="4" t="s">
        <v>3793</v>
      </c>
      <c r="B266" s="4" t="s">
        <v>4016</v>
      </c>
      <c r="C266" s="4" t="s">
        <v>3990</v>
      </c>
      <c r="D266" s="7" t="n">
        <v>2020</v>
      </c>
      <c r="E266" s="4" t="s">
        <v>4005</v>
      </c>
    </row>
    <row r="267" customFormat="false" ht="15" hidden="false" customHeight="false" outlineLevel="0" collapsed="false">
      <c r="A267" s="4" t="s">
        <v>3793</v>
      </c>
      <c r="B267" s="4" t="s">
        <v>4001</v>
      </c>
      <c r="C267" s="4" t="s">
        <v>4002</v>
      </c>
      <c r="D267" s="7" t="n">
        <v>2020</v>
      </c>
      <c r="E267" s="4" t="s">
        <v>3996</v>
      </c>
    </row>
    <row r="268" customFormat="false" ht="15" hidden="false" customHeight="false" outlineLevel="0" collapsed="false">
      <c r="A268" s="4" t="s">
        <v>3808</v>
      </c>
      <c r="B268" s="4" t="s">
        <v>3982</v>
      </c>
      <c r="C268" s="4" t="s">
        <v>3983</v>
      </c>
      <c r="D268" s="7" t="n">
        <v>2025</v>
      </c>
      <c r="E268" s="4" t="s">
        <v>4005</v>
      </c>
    </row>
    <row r="269" customFormat="false" ht="15" hidden="false" customHeight="false" outlineLevel="0" collapsed="false">
      <c r="A269" s="4" t="s">
        <v>3822</v>
      </c>
      <c r="B269" s="4" t="s">
        <v>4008</v>
      </c>
      <c r="C269" s="4" t="s">
        <v>4000</v>
      </c>
      <c r="D269" s="7" t="n">
        <v>2020</v>
      </c>
      <c r="E269" s="4" t="s">
        <v>4003</v>
      </c>
    </row>
    <row r="270" customFormat="false" ht="15" hidden="false" customHeight="false" outlineLevel="0" collapsed="false">
      <c r="A270" s="4" t="s">
        <v>3837</v>
      </c>
      <c r="B270" s="4" t="s">
        <v>3994</v>
      </c>
      <c r="C270" s="4" t="s">
        <v>3995</v>
      </c>
      <c r="D270" s="7" t="n">
        <v>2022</v>
      </c>
      <c r="E270" s="4" t="s">
        <v>3984</v>
      </c>
    </row>
    <row r="271" customFormat="false" ht="15" hidden="false" customHeight="false" outlineLevel="0" collapsed="false">
      <c r="A271" s="4" t="s">
        <v>3844</v>
      </c>
      <c r="B271" s="4" t="s">
        <v>3994</v>
      </c>
      <c r="C271" s="4" t="s">
        <v>3995</v>
      </c>
      <c r="D271" s="7" t="n">
        <v>2021</v>
      </c>
      <c r="E271" s="4" t="s">
        <v>3984</v>
      </c>
    </row>
    <row r="272" customFormat="false" ht="15" hidden="false" customHeight="false" outlineLevel="0" collapsed="false">
      <c r="A272" s="4" t="s">
        <v>3851</v>
      </c>
      <c r="B272" s="4" t="s">
        <v>4009</v>
      </c>
      <c r="C272" s="4" t="s">
        <v>4000</v>
      </c>
      <c r="D272" s="7" t="n">
        <v>2022</v>
      </c>
      <c r="E272" s="4" t="s">
        <v>3996</v>
      </c>
    </row>
    <row r="273" customFormat="false" ht="15" hidden="false" customHeight="false" outlineLevel="0" collapsed="false">
      <c r="A273" s="4" t="s">
        <v>3866</v>
      </c>
      <c r="B273" s="4" t="s">
        <v>4020</v>
      </c>
      <c r="C273" s="4" t="s">
        <v>3998</v>
      </c>
      <c r="D273" s="7" t="n">
        <v>2019</v>
      </c>
      <c r="E273" s="4" t="s">
        <v>3993</v>
      </c>
    </row>
    <row r="274" customFormat="false" ht="15" hidden="false" customHeight="false" outlineLevel="0" collapsed="false">
      <c r="A274" s="4" t="s">
        <v>3874</v>
      </c>
      <c r="B274" s="4" t="s">
        <v>4021</v>
      </c>
      <c r="C274" s="4" t="s">
        <v>3998</v>
      </c>
      <c r="D274" s="7" t="n">
        <v>2024</v>
      </c>
      <c r="E274" s="4" t="s">
        <v>4004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8" t="s">
        <v>4022</v>
      </c>
      <c r="B1" s="8" t="s">
        <v>4023</v>
      </c>
      <c r="C1" s="8" t="s">
        <v>4024</v>
      </c>
    </row>
    <row r="2" customFormat="false" ht="15" hidden="false" customHeight="false" outlineLevel="0" collapsed="false">
      <c r="A2" s="4" t="s">
        <v>4025</v>
      </c>
      <c r="B2" s="4" t="s">
        <v>25</v>
      </c>
      <c r="C2" s="4" t="s">
        <v>4026</v>
      </c>
    </row>
    <row r="3" customFormat="false" ht="15" hidden="false" customHeight="false" outlineLevel="0" collapsed="false">
      <c r="A3" s="4" t="s">
        <v>4025</v>
      </c>
      <c r="B3" s="4" t="s">
        <v>26</v>
      </c>
      <c r="C3" s="4" t="s">
        <v>4027</v>
      </c>
    </row>
    <row r="4" customFormat="false" ht="15" hidden="false" customHeight="false" outlineLevel="0" collapsed="false">
      <c r="A4" s="4" t="s">
        <v>4025</v>
      </c>
      <c r="B4" s="4" t="s">
        <v>27</v>
      </c>
      <c r="C4" s="4" t="s">
        <v>4028</v>
      </c>
    </row>
    <row r="5" customFormat="false" ht="15" hidden="false" customHeight="false" outlineLevel="0" collapsed="false">
      <c r="A5" s="4" t="s">
        <v>4025</v>
      </c>
      <c r="B5" s="4" t="s">
        <v>28</v>
      </c>
      <c r="C5" s="4" t="s">
        <v>4029</v>
      </c>
    </row>
    <row r="6" customFormat="false" ht="15" hidden="false" customHeight="false" outlineLevel="0" collapsed="false">
      <c r="A6" s="4" t="s">
        <v>4025</v>
      </c>
      <c r="B6" s="4" t="s">
        <v>29</v>
      </c>
      <c r="C6" s="4" t="s">
        <v>4030</v>
      </c>
    </row>
    <row r="7" customFormat="false" ht="15" hidden="false" customHeight="false" outlineLevel="0" collapsed="false">
      <c r="A7" s="4" t="s">
        <v>4025</v>
      </c>
      <c r="B7" s="4" t="s">
        <v>30</v>
      </c>
      <c r="C7" s="4" t="s">
        <v>4031</v>
      </c>
    </row>
    <row r="8" customFormat="false" ht="15" hidden="false" customHeight="false" outlineLevel="0" collapsed="false">
      <c r="A8" s="4" t="s">
        <v>4025</v>
      </c>
      <c r="B8" s="4" t="s">
        <v>31</v>
      </c>
      <c r="C8" s="4" t="s">
        <v>4032</v>
      </c>
    </row>
    <row r="9" customFormat="false" ht="15" hidden="false" customHeight="false" outlineLevel="0" collapsed="false">
      <c r="A9" s="4" t="s">
        <v>4025</v>
      </c>
      <c r="B9" s="4" t="s">
        <v>32</v>
      </c>
      <c r="C9" s="4" t="s">
        <v>4033</v>
      </c>
    </row>
    <row r="10" customFormat="false" ht="15" hidden="false" customHeight="false" outlineLevel="0" collapsed="false">
      <c r="A10" s="4" t="s">
        <v>4025</v>
      </c>
      <c r="B10" s="4" t="s">
        <v>33</v>
      </c>
      <c r="C10" s="4" t="s">
        <v>4034</v>
      </c>
    </row>
    <row r="11" customFormat="false" ht="15" hidden="false" customHeight="false" outlineLevel="0" collapsed="false">
      <c r="A11" s="4" t="s">
        <v>4025</v>
      </c>
      <c r="B11" s="4" t="s">
        <v>34</v>
      </c>
      <c r="C11" s="4" t="s">
        <v>4035</v>
      </c>
    </row>
    <row r="12" customFormat="false" ht="15" hidden="false" customHeight="false" outlineLevel="0" collapsed="false">
      <c r="A12" s="4" t="s">
        <v>4025</v>
      </c>
      <c r="B12" s="4" t="s">
        <v>35</v>
      </c>
      <c r="C12" s="4" t="s">
        <v>4036</v>
      </c>
    </row>
    <row r="13" customFormat="false" ht="15" hidden="false" customHeight="false" outlineLevel="0" collapsed="false">
      <c r="A13" s="4" t="s">
        <v>4025</v>
      </c>
      <c r="B13" s="4" t="s">
        <v>36</v>
      </c>
      <c r="C13" s="4" t="s">
        <v>4037</v>
      </c>
    </row>
    <row r="14" customFormat="false" ht="15" hidden="false" customHeight="false" outlineLevel="0" collapsed="false">
      <c r="A14" s="4" t="s">
        <v>4025</v>
      </c>
      <c r="B14" s="4" t="s">
        <v>37</v>
      </c>
      <c r="C14" s="4" t="s">
        <v>4038</v>
      </c>
    </row>
    <row r="15" customFormat="false" ht="15" hidden="false" customHeight="false" outlineLevel="0" collapsed="false">
      <c r="A15" s="4" t="s">
        <v>4025</v>
      </c>
      <c r="B15" s="4" t="s">
        <v>38</v>
      </c>
      <c r="C15" s="4" t="s">
        <v>4039</v>
      </c>
    </row>
    <row r="16" customFormat="false" ht="15" hidden="false" customHeight="false" outlineLevel="0" collapsed="false">
      <c r="A16" s="4" t="s">
        <v>4025</v>
      </c>
      <c r="B16" s="4" t="s">
        <v>39</v>
      </c>
      <c r="C16" s="4" t="s">
        <v>4040</v>
      </c>
    </row>
    <row r="17" customFormat="false" ht="15" hidden="false" customHeight="false" outlineLevel="0" collapsed="false">
      <c r="A17" s="4" t="s">
        <v>4025</v>
      </c>
      <c r="B17" s="4" t="s">
        <v>40</v>
      </c>
      <c r="C17" s="4" t="s">
        <v>4041</v>
      </c>
    </row>
    <row r="18" customFormat="false" ht="15" hidden="false" customHeight="false" outlineLevel="0" collapsed="false">
      <c r="A18" s="4" t="s">
        <v>4042</v>
      </c>
      <c r="B18" s="4" t="s">
        <v>4043</v>
      </c>
      <c r="C18" s="4" t="s">
        <v>4044</v>
      </c>
    </row>
    <row r="19" customFormat="false" ht="15" hidden="false" customHeight="false" outlineLevel="0" collapsed="false">
      <c r="A19" s="4" t="s">
        <v>4042</v>
      </c>
      <c r="B19" s="4" t="s">
        <v>4045</v>
      </c>
      <c r="C19" s="4" t="s">
        <v>4046</v>
      </c>
    </row>
    <row r="20" customFormat="false" ht="15" hidden="false" customHeight="false" outlineLevel="0" collapsed="false">
      <c r="A20" s="4" t="s">
        <v>4042</v>
      </c>
      <c r="B20" s="4" t="s">
        <v>3898</v>
      </c>
      <c r="C20" s="4" t="s">
        <v>4047</v>
      </c>
    </row>
    <row r="21" customFormat="false" ht="15" hidden="false" customHeight="false" outlineLevel="0" collapsed="false">
      <c r="A21" s="4" t="s">
        <v>4042</v>
      </c>
      <c r="B21" s="4" t="s">
        <v>3899</v>
      </c>
      <c r="C21" s="4" t="s">
        <v>4048</v>
      </c>
    </row>
    <row r="22" customFormat="false" ht="15" hidden="false" customHeight="false" outlineLevel="0" collapsed="false">
      <c r="A22" s="4" t="s">
        <v>4042</v>
      </c>
      <c r="B22" s="4" t="s">
        <v>3900</v>
      </c>
      <c r="C22" s="4" t="s">
        <v>4049</v>
      </c>
    </row>
    <row r="23" customFormat="false" ht="15" hidden="false" customHeight="false" outlineLevel="0" collapsed="false">
      <c r="A23" s="4" t="s">
        <v>4050</v>
      </c>
      <c r="B23" s="4" t="s">
        <v>3918</v>
      </c>
      <c r="C23" s="4" t="s">
        <v>4051</v>
      </c>
    </row>
    <row r="24" customFormat="false" ht="15" hidden="false" customHeight="false" outlineLevel="0" collapsed="false">
      <c r="A24" s="4" t="s">
        <v>4050</v>
      </c>
      <c r="B24" s="4" t="s">
        <v>3920</v>
      </c>
      <c r="C24" s="4" t="s">
        <v>4052</v>
      </c>
    </row>
    <row r="25" customFormat="false" ht="15" hidden="false" customHeight="false" outlineLevel="0" collapsed="false">
      <c r="A25" s="4" t="s">
        <v>4050</v>
      </c>
      <c r="B25" s="4" t="s">
        <v>3921</v>
      </c>
      <c r="C25" s="4" t="s">
        <v>4053</v>
      </c>
    </row>
    <row r="26" customFormat="false" ht="15" hidden="false" customHeight="false" outlineLevel="0" collapsed="false">
      <c r="A26" s="4" t="s">
        <v>4054</v>
      </c>
      <c r="B26" s="4" t="s">
        <v>3947</v>
      </c>
      <c r="C26" s="4" t="s">
        <v>4055</v>
      </c>
    </row>
    <row r="27" customFormat="false" ht="15" hidden="false" customHeight="false" outlineLevel="0" collapsed="false">
      <c r="A27" s="4" t="s">
        <v>4054</v>
      </c>
      <c r="B27" s="4" t="s">
        <v>3948</v>
      </c>
      <c r="C27" s="4" t="s">
        <v>4056</v>
      </c>
    </row>
    <row r="28" customFormat="false" ht="15" hidden="false" customHeight="false" outlineLevel="0" collapsed="false">
      <c r="A28" s="4" t="s">
        <v>4054</v>
      </c>
      <c r="B28" s="4" t="s">
        <v>3949</v>
      </c>
      <c r="C28" s="4" t="s">
        <v>4057</v>
      </c>
    </row>
    <row r="29" customFormat="false" ht="15" hidden="false" customHeight="false" outlineLevel="0" collapsed="false">
      <c r="A29" s="4" t="s">
        <v>4058</v>
      </c>
      <c r="B29" s="4" t="s">
        <v>3978</v>
      </c>
      <c r="C29" s="4" t="s">
        <v>4059</v>
      </c>
    </row>
    <row r="30" customFormat="false" ht="15" hidden="false" customHeight="false" outlineLevel="0" collapsed="false">
      <c r="A30" s="4" t="s">
        <v>4058</v>
      </c>
      <c r="B30" s="4" t="s">
        <v>3979</v>
      </c>
      <c r="C30" s="4" t="s">
        <v>4060</v>
      </c>
    </row>
    <row r="31" customFormat="false" ht="15" hidden="false" customHeight="false" outlineLevel="0" collapsed="false">
      <c r="A31" s="4" t="s">
        <v>4058</v>
      </c>
      <c r="B31" s="4" t="s">
        <v>3981</v>
      </c>
      <c r="C31" s="4" t="s">
        <v>4061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2026-06-18T16:28:09Z</dcterms:created>
  <dc:creator>openpyxl</dc:creator>
  <dc:description/>
  <dc:language>en-US</dc:language>
  <cp:lastModifiedBy/>
  <dcterms:modified xsi:type="dcterms:W3CDTF">2026-06-18T16:28:10Z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